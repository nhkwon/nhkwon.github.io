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E085A76-985E-44A2-9EC6-EA4D948E30BF}" xr6:coauthVersionLast="47" xr6:coauthVersionMax="47" xr10:uidLastSave="{00000000-0000-0000-0000-000000000000}"/>
  <bookViews>
    <workbookView xWindow="-28920" yWindow="-120" windowWidth="29040" windowHeight="17520" activeTab="3" xr2:uid="{00000000-000D-0000-FFFF-FFFF00000000}"/>
  </bookViews>
  <sheets>
    <sheet name="전체-ver1-IF_SCI" sheetId="4" r:id="rId1"/>
    <sheet name="전체-ver1-IF_국내" sheetId="18" r:id="rId2"/>
    <sheet name="수상실적" sheetId="5" r:id="rId3"/>
    <sheet name="학술발표" sheetId="6" r:id="rId4"/>
  </sheets>
  <definedNames>
    <definedName name="_xlnm._FilterDatabase" localSheetId="0" hidden="1">'전체-ver1-IF_SCI'!$A$1:$Z$1</definedName>
    <definedName name="_xlnm._FilterDatabase" localSheetId="1" hidden="1">'전체-ver1-IF_국내'!$A$1:$T$1</definedName>
    <definedName name="_Hlk15564470" localSheetId="0">'전체-ver1-IF_SCI'!$J$16</definedName>
    <definedName name="_Hlk15564470" localSheetId="1">'전체-ver1-IF_국내'!#REF!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4" l="1"/>
  <c r="S2" i="4"/>
  <c r="S3" i="4"/>
  <c r="S4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5" i="4"/>
  <c r="J19" i="18" l="1"/>
</calcChain>
</file>

<file path=xl/sharedStrings.xml><?xml version="1.0" encoding="utf-8"?>
<sst xmlns="http://schemas.openxmlformats.org/spreadsheetml/2006/main" count="602" uniqueCount="378">
  <si>
    <t>논문종류</t>
    <phoneticPr fontId="1" type="noConversion"/>
  </si>
  <si>
    <t>제목</t>
    <phoneticPr fontId="1" type="noConversion"/>
  </si>
  <si>
    <t>게재지명</t>
    <phoneticPr fontId="1" type="noConversion"/>
  </si>
  <si>
    <t>발표자수</t>
    <phoneticPr fontId="1" type="noConversion"/>
  </si>
  <si>
    <t>공저자</t>
    <phoneticPr fontId="1" type="noConversion"/>
  </si>
  <si>
    <t>저자구문</t>
    <phoneticPr fontId="1" type="noConversion"/>
  </si>
  <si>
    <t>ISSN</t>
    <phoneticPr fontId="1" type="noConversion"/>
  </si>
  <si>
    <t>인터넷주소</t>
    <phoneticPr fontId="1" type="noConversion"/>
  </si>
  <si>
    <t>대표논문여부</t>
    <phoneticPr fontId="1" type="noConversion"/>
  </si>
  <si>
    <t>Estimating Risk Interdependency Ratio for Construction Project: Using Risk Checklist in Pre-construction Phase</t>
    <phoneticPr fontId="1" type="noConversion"/>
  </si>
  <si>
    <t>Preliminary Service Life Estimation Model for MEP Components Using Case-Based Reasoning and Genetic Algorithm</t>
    <phoneticPr fontId="1" type="noConversion"/>
  </si>
  <si>
    <t>Development of an Energy Saving Strategy Model for Retrofitting Existing Buildings: A Korean Case Study</t>
    <phoneticPr fontId="1" type="noConversion"/>
  </si>
  <si>
    <t>Construction Noise Risk Assessment Model Focusing on Construction Equipment</t>
    <phoneticPr fontId="1" type="noConversion"/>
  </si>
  <si>
    <t>Construction Noise Prediction Model Based on Case-Based Reasoning in the Preconstruction Phase</t>
    <phoneticPr fontId="1" type="noConversion"/>
  </si>
  <si>
    <t>교신저자</t>
  </si>
  <si>
    <t>https://ascelibrary.org/doi/full/10.1061/%28ASCE%29CO.1943-7862.0001675</t>
  </si>
  <si>
    <t>SCIE</t>
    <phoneticPr fontId="1" type="noConversion"/>
  </si>
  <si>
    <t>연구재단등재</t>
    <phoneticPr fontId="1" type="noConversion"/>
  </si>
  <si>
    <t>Y. Jang; N. Kwon; Y. Ahn; H.-S. Lee; and M. Park*</t>
    <phoneticPr fontId="1" type="noConversion"/>
  </si>
  <si>
    <t>N. Kwon; K. Song; M. Park; Y. Jang; I. Yoon; and Y. Ahn*</t>
    <phoneticPr fontId="1" type="noConversion"/>
  </si>
  <si>
    <t>Y. Jang; Y. Ahn; M. Park; H.-S. Lee; and N. Kwon*</t>
    <phoneticPr fontId="1" type="noConversion"/>
  </si>
  <si>
    <t>K. Song; Y. Ahn; J. Ahn; and N. Kwon*</t>
    <phoneticPr fontId="1" type="noConversion"/>
  </si>
  <si>
    <t>N. Kwon; J. Lee; M. Park; I. Yoon; and Y. Ahn*</t>
    <phoneticPr fontId="1" type="noConversion"/>
  </si>
  <si>
    <t>N. Kwon; M. Park*; H.-S. Lee; J. Ahn; and S. Kim</t>
    <phoneticPr fontId="1" type="noConversion"/>
  </si>
  <si>
    <t>N. Kwon; J. Cho; H.-S. Lee; I. Yoon; and M. Park*</t>
    <phoneticPr fontId="1" type="noConversion"/>
  </si>
  <si>
    <t>M. Park;, N. Kwon; J. Lee; S. Lee; and Y. Ahn*</t>
    <phoneticPr fontId="1" type="noConversion"/>
  </si>
  <si>
    <t>N. Kwon; K. Song; H.-S. Lee; J. Kim; and M. Park*</t>
    <phoneticPr fontId="1" type="noConversion"/>
  </si>
  <si>
    <t>K. Song; N. Kwon; K. Anderson; M. Park*; H.-S. Lee; and S Lee</t>
    <phoneticPr fontId="1" type="noConversion"/>
  </si>
  <si>
    <t>N. Kwon; M. Park*; H.-S. Lee; J. Ahn; and M. Shin</t>
    <phoneticPr fontId="1" type="noConversion"/>
  </si>
  <si>
    <t>J. Kim; H.-S. Lee; M. Park; and N. Kwon*</t>
    <phoneticPr fontId="1" type="noConversion"/>
  </si>
  <si>
    <t>J. Kim; H.-S. Lee*; M. Park; and N. Kwon</t>
    <phoneticPr fontId="1" type="noConversion"/>
  </si>
  <si>
    <t>Compensation Cost Estimation Model for Construction Noise Claims Using Case-Based Reasoning</t>
    <phoneticPr fontId="1" type="noConversion"/>
  </si>
  <si>
    <t>BIM-based Digital Fabrication Process for a Free-Form Building Project in South Korea</t>
    <phoneticPr fontId="1" type="noConversion"/>
  </si>
  <si>
    <t>시스템 다이내믹스를 이용한 건설 작업자의 불안전한 행동의 인지 과정 모델링</t>
    <phoneticPr fontId="1" type="noConversion"/>
  </si>
  <si>
    <t>Performance Evaluation of Distance Measurements for Construction Noise Prediction Using Case-Based Reasoning</t>
    <phoneticPr fontId="1" type="noConversion"/>
  </si>
  <si>
    <t>Construction Noise Management Using Active Noise Control Techniques</t>
    <phoneticPr fontId="1" type="noConversion"/>
  </si>
  <si>
    <t>능동소음제어를 이용한 건설현장의 소음관리모델 개발-도심지 공사현장을 중심으로</t>
    <phoneticPr fontId="1" type="noConversion"/>
  </si>
  <si>
    <t>Sustainability</t>
  </si>
  <si>
    <t>한국건설관리학회</t>
  </si>
  <si>
    <t>공동연구</t>
  </si>
  <si>
    <t>제1저자</t>
  </si>
  <si>
    <t>2352-7102</t>
  </si>
  <si>
    <t>2071-1050</t>
  </si>
  <si>
    <t>0733-9364</t>
  </si>
  <si>
    <t>‎0378-7788</t>
  </si>
  <si>
    <t>1229-6163</t>
  </si>
  <si>
    <t>2005-6095</t>
  </si>
  <si>
    <t>https://ascelibrary.org/doi/full/10.1061/%28ASCE%29ME.1943-5479.0000713</t>
  </si>
  <si>
    <t>https://www.mdpi.com/2071-1050/11/11/3074</t>
  </si>
  <si>
    <t>https://www.hindawi.com/journals/ace/2019/4163625/</t>
  </si>
  <si>
    <t>https://www.mdpi.com/2071-1050/11/9/2575</t>
  </si>
  <si>
    <t>https://www.mdpi.com/1996-1073/12/9/1626</t>
  </si>
  <si>
    <t>https://www.mdpi.com/2071-1050/11/7/1843</t>
  </si>
  <si>
    <t>https://www.mdpi.com/2071-1050/11/3/871</t>
  </si>
  <si>
    <t>https://ascelibrary.org/doi/10.1061/%28ASCE%29CO.1943-7862.0001480</t>
  </si>
  <si>
    <t>https://www.sciencedirect.com/science/article/pii/S0378778817331742</t>
  </si>
  <si>
    <t>https://ascelibrary.org/doi/10.1061/%28ASCE%29CO.1943-7862.0001291</t>
  </si>
  <si>
    <t>https://ascelibrary.org/doi/10.1061/%28ASCE%29CO.1943-7862.0001121</t>
  </si>
  <si>
    <t>http://www.auric.or.kr/User/rdoc/DocRdoc.aspx?returnVal=RD_R&amp;dn=386107#.XXDMumZ7mUk</t>
  </si>
  <si>
    <t>http://www.ndsl.kr/ndsl/search/detail/article/articleSearchResultDetail.do?cn=JAKO201719363527607&amp;SITE=CLICK</t>
  </si>
  <si>
    <t>http://www.ndsl.kr/ndsl/search/detail/article/articleSearchResultDetail.do?cn=JAKO201411560018267&amp;SITE=CLICK</t>
  </si>
  <si>
    <t>송권식, 박문서, 장유진, 윤인석, 안용한*</t>
    <phoneticPr fontId="1" type="noConversion"/>
  </si>
  <si>
    <t>조종우, 이현수, 윤인석, 박문서*</t>
    <phoneticPr fontId="1" type="noConversion"/>
  </si>
  <si>
    <t>안용한, 박문서, 이현수, 권나현*</t>
    <phoneticPr fontId="1" type="noConversion"/>
  </si>
  <si>
    <t>안용한, 안요섭, 권나현*</t>
    <phoneticPr fontId="1" type="noConversion"/>
  </si>
  <si>
    <t>송권식, 이현수, 김진우, 박문서*</t>
    <phoneticPr fontId="1" type="noConversion"/>
  </si>
  <si>
    <t>이주성, 박문선, 윤인석, 안용한 *</t>
    <phoneticPr fontId="1" type="noConversion"/>
  </si>
  <si>
    <t>박문서*, 이현수, 안요섭, 김수영</t>
    <phoneticPr fontId="1" type="noConversion"/>
  </si>
  <si>
    <t>박문서* 이현수, 안요섭, 신민규</t>
    <phoneticPr fontId="1" type="noConversion"/>
  </si>
  <si>
    <t>박문서*, 이현수, 안요섭, 김선우</t>
    <phoneticPr fontId="1" type="noConversion"/>
  </si>
  <si>
    <t>International Diversification and Performance of Construction Companies: Moderating effect of regional, product and industry diversifications</t>
    <phoneticPr fontId="1" type="noConversion"/>
  </si>
  <si>
    <t>권나현, 안용한, 이현수, 박문서*</t>
    <phoneticPr fontId="1" type="noConversion"/>
  </si>
  <si>
    <t>J. Lee; N. Kwon; N. Ham*; J. Kim; and Y. Ahn</t>
    <phoneticPr fontId="1" type="noConversion"/>
  </si>
  <si>
    <t>권나현, 함남혁*, 김재준, 안용한</t>
    <phoneticPr fontId="1" type="noConversion"/>
  </si>
  <si>
    <t>Probabilistic Maintenance Cost Analysis for Aged Multi-Family Housing</t>
    <phoneticPr fontId="1" type="noConversion"/>
  </si>
  <si>
    <t>권나현, 이주성, 이상효, 안용한*</t>
    <phoneticPr fontId="1" type="noConversion"/>
  </si>
  <si>
    <t>권나현, Kyle Anderson, 박문서*, 이현수, 이상현</t>
    <phoneticPr fontId="1" type="noConversion"/>
  </si>
  <si>
    <t>이현수*, 박문서, 권나현</t>
    <phoneticPr fontId="1" type="noConversion"/>
  </si>
  <si>
    <t>J. Cho, H.-S. Lee, M. Park, K. Song, J. Kim, and N. Kwon*</t>
    <phoneticPr fontId="1" type="noConversion"/>
  </si>
  <si>
    <t>이현수, 박문서, 송권식, 김재곤, 권나현*</t>
    <phoneticPr fontId="1" type="noConversion"/>
  </si>
  <si>
    <t>송권식, 안용한, 박문서, 장유진*</t>
    <phoneticPr fontId="1" type="noConversion"/>
  </si>
  <si>
    <t>Sustainability</t>
    <phoneticPr fontId="1" type="noConversion"/>
  </si>
  <si>
    <t>Advances in Civil Engineering</t>
    <phoneticPr fontId="1" type="noConversion"/>
  </si>
  <si>
    <t>Business Models and Performance of International Construction Companies</t>
    <phoneticPr fontId="1" type="noConversion"/>
  </si>
  <si>
    <t>Predicting hourly energy consumption in buildings using occupancy-related characteristics of end-user groups</t>
    <phoneticPr fontId="1" type="noConversion"/>
  </si>
  <si>
    <t>Architectural Research</t>
    <phoneticPr fontId="1" type="noConversion"/>
  </si>
  <si>
    <t>Maintenance cost prediction for aging residential buildings based on case-based reasoning and genetic algorithm</t>
    <phoneticPr fontId="1" type="noConversion"/>
  </si>
  <si>
    <t>https://www.sciencedirect.com/science/article/pii/S2352710219315232</t>
  </si>
  <si>
    <t>N. Kwon; K. Song; Y. Ahn; M. Park; and Y. Jang*</t>
    <phoneticPr fontId="1" type="noConversion"/>
  </si>
  <si>
    <t>모듈러 공법을 적용한 건강생활지원센터 공간계획에 관한 연구</t>
    <phoneticPr fontId="1" type="noConversion"/>
  </si>
  <si>
    <t>대한건축학회</t>
    <phoneticPr fontId="1" type="noConversion"/>
  </si>
  <si>
    <t>1226-9093</t>
  </si>
  <si>
    <t>http://www.auric.or.kr/user/search/site/aik2017/doc_rdoc.asp?usernum=0&amp;seid=&amp;QU=&amp;PrimaryKey=389368&amp;BrsDataBaseName=RDOC&amp;DBNM=RD_R</t>
    <phoneticPr fontId="1" type="noConversion"/>
  </si>
  <si>
    <t>H. Jang; N. Kwon; Y. Ahn; C. Ahn*</t>
    <phoneticPr fontId="1" type="noConversion"/>
  </si>
  <si>
    <t>교신저자</t>
    <phoneticPr fontId="1" type="noConversion"/>
  </si>
  <si>
    <t>https://www.mdpi.com/2071-1050/11/24/7181</t>
  </si>
  <si>
    <t>S. Park; N. Kwon; and Y. Ahn*</t>
    <phoneticPr fontId="1" type="noConversion"/>
  </si>
  <si>
    <t>Forecasting Repair Schedule for Building Components Based on Case-Based Reasoning and Fuzzy-AHP</t>
    <phoneticPr fontId="1" type="noConversion"/>
  </si>
  <si>
    <t>권나현*, 안용한*</t>
    <phoneticPr fontId="1" type="noConversion"/>
  </si>
  <si>
    <t>권나현, 안용한, 안치원*</t>
    <phoneticPr fontId="1" type="noConversion"/>
  </si>
  <si>
    <t>이현수, 박문서, 권나현*</t>
    <phoneticPr fontId="1" type="noConversion"/>
  </si>
  <si>
    <t>조종우</t>
    <phoneticPr fontId="1" type="noConversion"/>
  </si>
  <si>
    <t>Journal of Asian Architecture and Building Engineering</t>
    <phoneticPr fontId="1" type="noConversion"/>
  </si>
  <si>
    <t>수상 명(년도)</t>
  </si>
  <si>
    <t>논문 명</t>
  </si>
  <si>
    <t>기관</t>
  </si>
  <si>
    <t>대한건축학회 학술발표대회</t>
  </si>
  <si>
    <t>ICCEPM 2017</t>
  </si>
  <si>
    <t>학술발표 명</t>
  </si>
  <si>
    <t>년도</t>
  </si>
  <si>
    <t>저자</t>
  </si>
  <si>
    <t>개발도상국에서의 지속 가능한 건설을 위한 Value Management의 적용 방안</t>
    <phoneticPr fontId="1" type="noConversion"/>
  </si>
  <si>
    <t>대한건축학회 춘계학술발표대회</t>
    <phoneticPr fontId="1" type="noConversion"/>
  </si>
  <si>
    <t>Competency Level Evaluation for Construction Management in Southeast Asian Countries</t>
    <phoneticPr fontId="1" type="noConversion"/>
  </si>
  <si>
    <t>제 1저자</t>
    <phoneticPr fontId="1" type="noConversion"/>
  </si>
  <si>
    <t>Capability Evaluation for Improving Competitiveness of the Korean Construction Firms</t>
    <phoneticPr fontId="1" type="noConversion"/>
  </si>
  <si>
    <t>The 6th International Conference on Construction Engineering and Project Management</t>
    <phoneticPr fontId="1" type="noConversion"/>
  </si>
  <si>
    <t>설계초기단계에서 커뮤니케이션 방법 개선을 위한 요소 도출</t>
    <phoneticPr fontId="1" type="noConversion"/>
  </si>
  <si>
    <t>대한건축학회 추계학술발표대회</t>
    <phoneticPr fontId="1" type="noConversion"/>
  </si>
  <si>
    <t>KPI들 간 상호연관성을 고려한 메트로폴리스 공공 건설 프로젝트 평가</t>
    <phoneticPr fontId="1" type="noConversion"/>
  </si>
  <si>
    <t>한국건설관리학회 추계학술발표대회</t>
    <phoneticPr fontId="1" type="noConversion"/>
  </si>
  <si>
    <t>권나현</t>
    <phoneticPr fontId="1" type="noConversion"/>
  </si>
  <si>
    <t>Fuzzy-AHP를 활용한 건물 유지관리 영향요인 중요도 평가</t>
    <phoneticPr fontId="1" type="noConversion"/>
  </si>
  <si>
    <t>한국건설관리학회 추계학술발표대회</t>
    <phoneticPr fontId="1" type="noConversion"/>
  </si>
  <si>
    <t>사례기반추론 및 유전알고리즘을 활용한 건축물 초기 유지관리 비용 예측을 위한 기초연구</t>
    <phoneticPr fontId="1" type="noConversion"/>
  </si>
  <si>
    <t>대한건축학회 추계학술발표대회</t>
    <phoneticPr fontId="1" type="noConversion"/>
  </si>
  <si>
    <t>The 7th International Conference on Construction Engineering and Project Management</t>
    <phoneticPr fontId="1" type="noConversion"/>
  </si>
  <si>
    <t>공동저자</t>
    <phoneticPr fontId="1" type="noConversion"/>
  </si>
  <si>
    <t>공동저자</t>
    <phoneticPr fontId="1" type="noConversion"/>
  </si>
  <si>
    <t>제 1저자</t>
    <phoneticPr fontId="1" type="noConversion"/>
  </si>
  <si>
    <t>2019.11.15</t>
    <phoneticPr fontId="1" type="noConversion"/>
  </si>
  <si>
    <t>1저자</t>
    <phoneticPr fontId="1" type="noConversion"/>
  </si>
  <si>
    <t>Reduction and transformation of energy use data for end-user group categorization in dormitory buildings</t>
    <phoneticPr fontId="1" type="noConversion"/>
  </si>
  <si>
    <t>안요섭, 안용한, 박문선, 권나현*</t>
    <phoneticPr fontId="1" type="noConversion"/>
  </si>
  <si>
    <t>교신저자</t>
    <phoneticPr fontId="1" type="noConversion"/>
  </si>
  <si>
    <t>K. Song;  J. Ahn; Y. Ahn; M. Park and N. Kwon*</t>
    <phoneticPr fontId="1" type="noConversion"/>
  </si>
  <si>
    <t>https://www.sciencedirect.com/science/article/pii/S2352710219324246</t>
  </si>
  <si>
    <t>최종출판</t>
    <phoneticPr fontId="1" type="noConversion"/>
  </si>
  <si>
    <t>온라인출판</t>
    <phoneticPr fontId="1" type="noConversion"/>
  </si>
  <si>
    <t xml:space="preserve">Automation in Construction </t>
    <phoneticPr fontId="1" type="noConversion"/>
  </si>
  <si>
    <t>지세현*, 안성진, 박문서, 이현수, 권나현, 이을범, 김용구</t>
    <phoneticPr fontId="1" type="noConversion"/>
  </si>
  <si>
    <t>J. Ahn; S.-H. Ji; S. J. Ahn; M. Park; H.-S. Lee; N. Kwon; E.-B. Lee; and Y. Kim</t>
    <phoneticPr fontId="1" type="noConversion"/>
  </si>
  <si>
    <t>https://www.sciencedirect.com/science/article/pii/S0926580520309092</t>
    <phoneticPr fontId="1" type="noConversion"/>
  </si>
  <si>
    <t>1저자</t>
    <phoneticPr fontId="1" type="noConversion"/>
  </si>
  <si>
    <t>안요섭</t>
    <phoneticPr fontId="1" type="noConversion"/>
  </si>
  <si>
    <t>조종우</t>
    <phoneticPr fontId="1" type="noConversion"/>
  </si>
  <si>
    <t>송권식</t>
    <phoneticPr fontId="1" type="noConversion"/>
  </si>
  <si>
    <t>박소진</t>
    <phoneticPr fontId="1" type="noConversion"/>
  </si>
  <si>
    <t>권나현</t>
    <phoneticPr fontId="1" type="noConversion"/>
  </si>
  <si>
    <t>장유진</t>
    <phoneticPr fontId="1" type="noConversion"/>
  </si>
  <si>
    <t>이주성</t>
    <phoneticPr fontId="1" type="noConversion"/>
  </si>
  <si>
    <t>박문선</t>
    <phoneticPr fontId="1" type="noConversion"/>
  </si>
  <si>
    <t>장활제</t>
    <phoneticPr fontId="1" type="noConversion"/>
  </si>
  <si>
    <t>김준영</t>
    <phoneticPr fontId="1" type="noConversion"/>
  </si>
  <si>
    <t>김진우</t>
    <phoneticPr fontId="1" type="noConversion"/>
  </si>
  <si>
    <t>해당없음</t>
    <phoneticPr fontId="1" type="noConversion"/>
  </si>
  <si>
    <t>https://www.tandfonline.com/doi/full/10.1080/13467581.2020.1786390</t>
    <phoneticPr fontId="1" type="noConversion"/>
  </si>
  <si>
    <t>순번</t>
    <phoneticPr fontId="1" type="noConversion"/>
  </si>
  <si>
    <t>SCI 교신저자</t>
    <phoneticPr fontId="1" type="noConversion"/>
  </si>
  <si>
    <t>수상날짜</t>
    <phoneticPr fontId="1" type="noConversion"/>
  </si>
  <si>
    <t>Estimating the Performance of Heavy Impact Sound Insulation Using Empirical Approaches</t>
    <phoneticPr fontId="1" type="noConversion"/>
  </si>
  <si>
    <t>KCI</t>
    <phoneticPr fontId="1" type="noConversion"/>
  </si>
  <si>
    <t>201703</t>
  </si>
  <si>
    <t>201911</t>
  </si>
  <si>
    <t>201906</t>
  </si>
  <si>
    <t>SCI 1저자</t>
    <phoneticPr fontId="1" type="noConversion"/>
  </si>
  <si>
    <t>합계</t>
    <phoneticPr fontId="1" type="noConversion"/>
  </si>
  <si>
    <t>안용한, 손보식, 문효수</t>
    <phoneticPr fontId="1" type="noConversion"/>
  </si>
  <si>
    <t>N. Kwon; Y. Ahn; B.-S. Son; and H. Moon*</t>
    <phoneticPr fontId="1" type="noConversion"/>
  </si>
  <si>
    <t>https://www.sciencedirect.com/science/article/pii/S235271022100485X?dgcid=coauthor</t>
    <phoneticPr fontId="1" type="noConversion"/>
  </si>
  <si>
    <t>2017.11기준</t>
    <phoneticPr fontId="1" type="noConversion"/>
  </si>
  <si>
    <t>총sci</t>
    <phoneticPr fontId="1" type="noConversion"/>
  </si>
  <si>
    <t>주저자</t>
    <phoneticPr fontId="1" type="noConversion"/>
  </si>
  <si>
    <t>(최근 4년간)</t>
    <phoneticPr fontId="1" type="noConversion"/>
  </si>
  <si>
    <t>총kci</t>
    <phoneticPr fontId="1" type="noConversion"/>
  </si>
  <si>
    <t>144(6)</t>
    <phoneticPr fontId="1" type="noConversion"/>
  </si>
  <si>
    <t>145(8)</t>
    <phoneticPr fontId="1" type="noConversion"/>
  </si>
  <si>
    <t>11(24)</t>
    <phoneticPr fontId="1" type="noConversion"/>
  </si>
  <si>
    <t>11(11)</t>
    <phoneticPr fontId="1" type="noConversion"/>
  </si>
  <si>
    <t>20(3)</t>
    <phoneticPr fontId="1" type="noConversion"/>
  </si>
  <si>
    <t>11(9)</t>
    <phoneticPr fontId="1" type="noConversion"/>
  </si>
  <si>
    <t>12(9)</t>
    <phoneticPr fontId="1" type="noConversion"/>
  </si>
  <si>
    <t>11(3)</t>
    <phoneticPr fontId="1" type="noConversion"/>
  </si>
  <si>
    <t>35(5)</t>
    <phoneticPr fontId="1" type="noConversion"/>
  </si>
  <si>
    <t>11(7)</t>
    <phoneticPr fontId="1" type="noConversion"/>
  </si>
  <si>
    <t>35(11)</t>
    <phoneticPr fontId="1" type="noConversion"/>
  </si>
  <si>
    <t>21(2)</t>
    <phoneticPr fontId="1" type="noConversion"/>
  </si>
  <si>
    <t>연구재단비등재</t>
    <phoneticPr fontId="1" type="noConversion"/>
  </si>
  <si>
    <t>3D수치 모델링 기술을 활용한 종교시설 첨탑 안전성 점검 사례 연구</t>
    <phoneticPr fontId="1" type="noConversion"/>
  </si>
  <si>
    <t>한국퍼실리티매지니먼트학회</t>
    <phoneticPr fontId="1" type="noConversion"/>
  </si>
  <si>
    <t>조한광</t>
    <phoneticPr fontId="1" type="noConversion"/>
  </si>
  <si>
    <t>공동연구</t>
    <phoneticPr fontId="1" type="noConversion"/>
  </si>
  <si>
    <t>1229-2230</t>
    <phoneticPr fontId="1" type="noConversion"/>
  </si>
  <si>
    <t>권호</t>
    <phoneticPr fontId="1" type="noConversion"/>
  </si>
  <si>
    <t>IF(최신)</t>
    <phoneticPr fontId="1" type="noConversion"/>
  </si>
  <si>
    <t>IF(게재년도)</t>
    <phoneticPr fontId="1" type="noConversion"/>
  </si>
  <si>
    <t>JIF Percentile(최신)</t>
    <phoneticPr fontId="1" type="noConversion"/>
  </si>
  <si>
    <t>국내 원전 방사화 콘크리트 구조물 해체공사 리스크 분류체계 구축</t>
    <phoneticPr fontId="1" type="noConversion"/>
  </si>
  <si>
    <t>이상렬</t>
    <phoneticPr fontId="1" type="noConversion"/>
  </si>
  <si>
    <t>손보식*, 김상환, 권나현, 문효수</t>
    <phoneticPr fontId="1" type="noConversion"/>
  </si>
  <si>
    <t>문효수*, 조한광, 권나현, 최중식, 안용한</t>
    <phoneticPr fontId="1" type="noConversion"/>
  </si>
  <si>
    <t>https://www.auric.or.kr/User/rdoc/DocRdoc.aspx?returnVal=RD_R&amp;dn=411803#.YgC1Gd9ByUk</t>
  </si>
  <si>
    <t>16(2)</t>
    <phoneticPr fontId="1" type="noConversion"/>
  </si>
  <si>
    <t>35(11)</t>
    <phoneticPr fontId="1" type="noConversion"/>
  </si>
  <si>
    <t>21(2)</t>
    <phoneticPr fontId="1" type="noConversion"/>
  </si>
  <si>
    <t>18(2)</t>
    <phoneticPr fontId="1" type="noConversion"/>
  </si>
  <si>
    <t>15(2)</t>
    <phoneticPr fontId="1" type="noConversion"/>
  </si>
  <si>
    <t>우선순위</t>
    <phoneticPr fontId="1" type="noConversion"/>
  </si>
  <si>
    <t>날짜순</t>
    <phoneticPr fontId="1" type="noConversion"/>
  </si>
  <si>
    <t>Sustainability</t>
    <phoneticPr fontId="1" type="noConversion"/>
  </si>
  <si>
    <t>2071-1050</t>
    <phoneticPr fontId="1" type="noConversion"/>
  </si>
  <si>
    <t>1346-7581</t>
    <phoneticPr fontId="1" type="noConversion"/>
  </si>
  <si>
    <t>Energies</t>
    <phoneticPr fontId="1" type="noConversion"/>
  </si>
  <si>
    <t>1996-1073</t>
    <phoneticPr fontId="1" type="noConversion"/>
  </si>
  <si>
    <t>0742-597X</t>
    <phoneticPr fontId="1" type="noConversion"/>
  </si>
  <si>
    <t>Performance Evaluation of Normalization-based CBR Models for Improving Construction Cost Estimation</t>
    <phoneticPr fontId="1" type="noConversion"/>
  </si>
  <si>
    <t>0926-5805</t>
    <phoneticPr fontId="1" type="noConversion"/>
  </si>
  <si>
    <t>1687-8086</t>
    <phoneticPr fontId="1" type="noConversion"/>
  </si>
  <si>
    <t>문효수</t>
    <phoneticPr fontId="1" type="noConversion"/>
  </si>
  <si>
    <t>박문서, 안용한, 권나현*</t>
    <phoneticPr fontId="1" type="noConversion"/>
  </si>
  <si>
    <t>H. Moon; M. Park; Y. Ahn; and N. Kwon*</t>
    <phoneticPr fontId="1" type="noConversion"/>
  </si>
  <si>
    <t>Rank(상위)</t>
    <phoneticPr fontId="1" type="noConversion"/>
  </si>
  <si>
    <t>Percentile</t>
    <phoneticPr fontId="1" type="noConversion"/>
  </si>
  <si>
    <t>39(1)</t>
    <phoneticPr fontId="1" type="noConversion"/>
  </si>
  <si>
    <t>https://ascelibrary.org/doi/full/10.1061/%28ASCE%29ME.1943-5479.0001097</t>
    <phoneticPr fontId="1" type="noConversion"/>
  </si>
  <si>
    <t>Applied Sciences</t>
    <phoneticPr fontId="1" type="noConversion"/>
  </si>
  <si>
    <t>Quang Hoai Le</t>
  </si>
  <si>
    <t>신현규, 권나현, 호종남, 안용한</t>
    <phoneticPr fontId="1" type="noConversion"/>
  </si>
  <si>
    <t>Q. H. Le, H. Shin*; N. Kwon*; J. Ho; and Y. Ahn</t>
    <phoneticPr fontId="1" type="noConversion"/>
  </si>
  <si>
    <t>https://www.mdpi.com/2076-3417/12/22/11428</t>
    <phoneticPr fontId="1" type="noConversion"/>
  </si>
  <si>
    <t>12(22)</t>
    <phoneticPr fontId="1" type="noConversion"/>
  </si>
  <si>
    <t>2076-3417</t>
    <phoneticPr fontId="1" type="noConversion"/>
  </si>
  <si>
    <t>개발도상국에서의 지속 가능한 건설을 위한 Value Management의 적용 방안</t>
    <phoneticPr fontId="1" type="noConversion"/>
  </si>
  <si>
    <t>ICCEPM 2017</t>
    <phoneticPr fontId="1" type="noConversion"/>
  </si>
  <si>
    <t>Competency Level Evaluation for Construction Management in Southeast Asian Countries</t>
    <phoneticPr fontId="1" type="noConversion"/>
  </si>
  <si>
    <t>Developing a machine learning-based building repair time estimation model considering weight assigning methods</t>
    <phoneticPr fontId="1" type="noConversion"/>
  </si>
  <si>
    <t>Buildings</t>
    <phoneticPr fontId="1" type="noConversion"/>
  </si>
  <si>
    <t>송권식, 권나현, 박문서, 김태완*</t>
    <phoneticPr fontId="1" type="noConversion"/>
  </si>
  <si>
    <t>저자</t>
    <phoneticPr fontId="1" type="noConversion"/>
  </si>
  <si>
    <t>J. Cho; K. Song; N. Kwon; M. Park; and T. W. Kim* </t>
    <phoneticPr fontId="1" type="noConversion"/>
  </si>
  <si>
    <t>2075-5309 (EISSN)</t>
    <phoneticPr fontId="1" type="noConversion"/>
  </si>
  <si>
    <t>14(3)</t>
    <phoneticPr fontId="1" type="noConversion"/>
  </si>
  <si>
    <t>Construction Safety Innovation and Barriers in Different Company Types and Sizes: A Survey in Vietnam</t>
    <phoneticPr fontId="1" type="noConversion"/>
  </si>
  <si>
    <t>Thao Nguyen Thach</t>
  </si>
  <si>
    <t>문효수, Hoang Duy Pham, 권나현*, 안용한</t>
    <phoneticPr fontId="1" type="noConversion"/>
  </si>
  <si>
    <t>1226-7988</t>
    <phoneticPr fontId="1" type="noConversion"/>
  </si>
  <si>
    <t>Effects of Periodic Materials on Distance Attenuation in Wall–Slab Structures: An Experiment</t>
    <phoneticPr fontId="1" type="noConversion"/>
  </si>
  <si>
    <t>Seyedali Mirmotalebi, 장유진, 안용한, 권나현*</t>
    <phoneticPr fontId="1" type="noConversion"/>
  </si>
  <si>
    <t>H. Moon*; S. Mirmotalebi; Y. Jang; Y. Ahn and N. Kwon*</t>
    <phoneticPr fontId="1" type="noConversion"/>
  </si>
  <si>
    <t>공동교신저자</t>
    <phoneticPr fontId="1" type="noConversion"/>
  </si>
  <si>
    <t>https://www.mdpi.com/2075-5309/14/6/1536</t>
    <phoneticPr fontId="1" type="noConversion"/>
  </si>
  <si>
    <t>https://link.springer.com/article/10.1007/s12205-024-0779-z</t>
    <phoneticPr fontId="1" type="noConversion"/>
  </si>
  <si>
    <t>28(6)</t>
    <phoneticPr fontId="1" type="noConversion"/>
  </si>
  <si>
    <t>T. N. Thach; H. Moon; H. D. Pham , N. Kwon*; Y. Ahn</t>
    <phoneticPr fontId="1" type="noConversion"/>
  </si>
  <si>
    <t>제1저자</t>
    <phoneticPr fontId="1" type="noConversion"/>
  </si>
  <si>
    <t>Risk Evaluation of Radioactive Concrete Structure Decommissioning in Nuclear Power Plants Using Fuzzy-AHP</t>
    <phoneticPr fontId="1" type="noConversion"/>
  </si>
  <si>
    <t>Developing a Framework for Evaluating Project Feasibility of Disaster Management Facilities: Case Studies of a Protective Shelter in South Korea</t>
    <phoneticPr fontId="1" type="noConversion"/>
  </si>
  <si>
    <t>조종우, 안용한, 김종명, 박영준</t>
    <phoneticPr fontId="1" type="noConversion"/>
  </si>
  <si>
    <t>N. Kwon; J. Cho; Y. Ahn; J. Kim and Y.-J. Park</t>
    <phoneticPr fontId="1" type="noConversion"/>
  </si>
  <si>
    <t>Sensing Perceived Urban Stress Using Space Syntactical and Urban Building Density Data: A Machine Learning-based Approach</t>
    <phoneticPr fontId="1" type="noConversion"/>
  </si>
  <si>
    <t>Building and Environment</t>
    <phoneticPr fontId="1" type="noConversion"/>
  </si>
  <si>
    <t xml:space="preserve">Quang Hoai Le </t>
    <phoneticPr fontId="1" type="noConversion"/>
  </si>
  <si>
    <t>권나현*, The Hung Nguyen, 김별, 안용한</t>
    <phoneticPr fontId="1" type="noConversion"/>
  </si>
  <si>
    <t>Q. H. L; N. Kwon*; T. H. Nguyen; B. Kim; Y. Ahn</t>
    <phoneticPr fontId="1" type="noConversion"/>
  </si>
  <si>
    <t>https://www.sciencedirect.com/science/article/pii/S0360132324008965</t>
    <phoneticPr fontId="1" type="noConversion"/>
  </si>
  <si>
    <t>41(1)</t>
    <phoneticPr fontId="1" type="noConversion"/>
  </si>
  <si>
    <t>https://ascelibrary.org/doi/10.1061/JMENEA.MEENG-6067</t>
    <phoneticPr fontId="1" type="noConversion"/>
  </si>
  <si>
    <t>Advancing Modular Construction through Circular Economy: Insights from Semi-Automated PRISMA Analysis and Topic Modeling</t>
    <phoneticPr fontId="1" type="noConversion"/>
  </si>
  <si>
    <t>교신저자</t>
    <phoneticPr fontId="1" type="noConversion"/>
  </si>
  <si>
    <t>D. H. Ly, Q. H. Le, T. D. H. N. Nguyen, 안용한, 김경수, 권나현*</t>
    <phoneticPr fontId="1" type="noConversion"/>
  </si>
  <si>
    <t>D. H. Ly, Q. H. Le, T. D. H. N. Nguyen, Y. Ahn, K. Kim, N. Kwon*</t>
    <phoneticPr fontId="1" type="noConversion"/>
  </si>
  <si>
    <t>Elsevier</t>
    <phoneticPr fontId="1" type="noConversion"/>
  </si>
  <si>
    <t>American Society of Civil Engineers</t>
    <phoneticPr fontId="1" type="noConversion"/>
  </si>
  <si>
    <t>MDPI</t>
    <phoneticPr fontId="1" type="noConversion"/>
  </si>
  <si>
    <t>Webofscience</t>
    <phoneticPr fontId="1" type="noConversion"/>
  </si>
  <si>
    <t>Taylor and Francis</t>
    <phoneticPr fontId="1" type="noConversion"/>
  </si>
  <si>
    <t xml:space="preserve">Journal of Building Engineering </t>
    <phoneticPr fontId="1" type="noConversion"/>
  </si>
  <si>
    <t xml:space="preserve">Journal of Management in Engineering </t>
    <phoneticPr fontId="1" type="noConversion"/>
  </si>
  <si>
    <t>Journal of Building Engineering</t>
    <phoneticPr fontId="1" type="noConversion"/>
  </si>
  <si>
    <t xml:space="preserve">Journal of Construction Engineering and Management </t>
    <phoneticPr fontId="1" type="noConversion"/>
  </si>
  <si>
    <t>Energy and Buildings</t>
    <phoneticPr fontId="1" type="noConversion"/>
  </si>
  <si>
    <t xml:space="preserve">Journal of Construction Engineering and Management </t>
    <phoneticPr fontId="1" type="noConversion"/>
  </si>
  <si>
    <t>KSCE Journal of Civil Engineering</t>
    <phoneticPr fontId="1" type="noConversion"/>
  </si>
  <si>
    <t>Springer</t>
    <phoneticPr fontId="1" type="noConversion"/>
  </si>
  <si>
    <t>Wiley Online Library</t>
    <phoneticPr fontId="1" type="noConversion"/>
  </si>
  <si>
    <t>공동교신</t>
    <phoneticPr fontId="1" type="noConversion"/>
  </si>
  <si>
    <t>대한건축학회</t>
    <phoneticPr fontId="1" type="noConversion"/>
  </si>
  <si>
    <t>KCI, SCOPUS</t>
    <phoneticPr fontId="1" type="noConversion"/>
  </si>
  <si>
    <t>배출자 및 중간처리자 의견을 반영한 건설폐기물 처리 개선방안 중요도 분석</t>
    <phoneticPr fontId="1" type="noConversion"/>
  </si>
  <si>
    <t xml:space="preserve">Dang Huy Ly </t>
    <phoneticPr fontId="1" type="noConversion"/>
  </si>
  <si>
    <t>https://doi.org/10.1016/j.jobe.2024.111232</t>
    <phoneticPr fontId="1" type="noConversion"/>
  </si>
  <si>
    <t>강동렬</t>
    <phoneticPr fontId="1" type="noConversion"/>
  </si>
  <si>
    <t>D. Kang, E. Lee, Y. Ahn*, N. Kwon*</t>
    <phoneticPr fontId="1" type="noConversion"/>
  </si>
  <si>
    <t>강동렬, 이어진, 안용한*, 권나현*</t>
    <phoneticPr fontId="1" type="noConversion"/>
  </si>
  <si>
    <t>https://doi.org/10.3390/buildings14124028</t>
    <phoneticPr fontId="1" type="noConversion"/>
  </si>
  <si>
    <t>14(12)</t>
    <phoneticPr fontId="1" type="noConversion"/>
  </si>
  <si>
    <t>Deriving the Importance of Defects in Multi-Unit Residential Buildings Using the Analytic Hierarchy Process Method</t>
    <phoneticPr fontId="1" type="noConversion"/>
  </si>
  <si>
    <t>https://www.mdpi.com/2075-5309/14/3/694</t>
    <phoneticPr fontId="1" type="noConversion"/>
  </si>
  <si>
    <t>박소진</t>
    <phoneticPr fontId="1" type="noConversion"/>
  </si>
  <si>
    <t>S. Park, S.Park, H. Jang, Y. Ahn, N. Kwon*</t>
    <phoneticPr fontId="1" type="noConversion"/>
  </si>
  <si>
    <t>Computing green remodeling construction cost for public buildings based on genetic algorithm and case-based reasoning</t>
    <phoneticPr fontId="1" type="noConversion"/>
  </si>
  <si>
    <t>Developments in the Built Environment</t>
    <phoneticPr fontId="1" type="noConversion"/>
  </si>
  <si>
    <t>41(2)</t>
    <phoneticPr fontId="1" type="noConversion"/>
  </si>
  <si>
    <t>페이지</t>
    <phoneticPr fontId="1" type="noConversion"/>
  </si>
  <si>
    <t>117-127</t>
    <phoneticPr fontId="1" type="noConversion"/>
  </si>
  <si>
    <t>천유진</t>
    <phoneticPr fontId="1" type="noConversion"/>
  </si>
  <si>
    <t>권나현, 안용한*</t>
    <phoneticPr fontId="1" type="noConversion"/>
  </si>
  <si>
    <t>공동연구</t>
    <phoneticPr fontId="1" type="noConversion"/>
  </si>
  <si>
    <t>Y. Cheon, Y. Ahn, N. Kwon</t>
    <phoneticPr fontId="1" type="noConversion"/>
  </si>
  <si>
    <t>2733-6239</t>
    <phoneticPr fontId="1" type="noConversion"/>
  </si>
  <si>
    <t>https://www.aik.or.kr/pages_search/search.vm</t>
    <phoneticPr fontId="1" type="noConversion"/>
  </si>
  <si>
    <t>https://www.auric.or.kr/user/search/site/aik2017/doc_rdoc.asp?usernum=22366&amp;seid=aaa0frcf8W6FIbwWhOlyzuywvox2Otl8BPZAf7GbLK4lWZp5SBLjXdHhSizK123678645&amp;QU=&amp;PrimaryKey=435146&amp;BrsDataBaseName=RDOC&amp;DBNM=RD_R</t>
    <phoneticPr fontId="1" type="noConversion"/>
  </si>
  <si>
    <t>4년</t>
    <phoneticPr fontId="1" type="noConversion"/>
  </si>
  <si>
    <t>Expert Systems With Applications</t>
    <phoneticPr fontId="1" type="noConversion"/>
  </si>
  <si>
    <t>Ho Anh Thu Nguyen</t>
    <phoneticPr fontId="1" type="noConversion"/>
  </si>
  <si>
    <t>박소연, 장한별, 안용한, 권나현*</t>
    <phoneticPr fontId="1" type="noConversion"/>
  </si>
  <si>
    <t>Developing an Automated Framework for Eco-Label Information Categorization Using Web Crawling and Natural Language Processing Techniques</t>
    <phoneticPr fontId="1" type="noConversion"/>
  </si>
  <si>
    <t>https://www.sciencedirect.com/science/article/pii/S2666165925000559</t>
    <phoneticPr fontId="1" type="noConversion"/>
  </si>
  <si>
    <t>D. H. Pham, 김별, 안용한, 권나현*</t>
    <phoneticPr fontId="1" type="noConversion"/>
  </si>
  <si>
    <t>https://www.sciencedirect.com/science/article/pii/S0957417425013107</t>
    <phoneticPr fontId="1" type="noConversion"/>
  </si>
  <si>
    <t>https://www.auric.or.kr/User/Rdoc/DocRdoc.aspx?BrsDataBaseName=RDOC&amp;PrimaryKey=411805&amp;DBNM=RDCR#.YgC1Ut9ByUk</t>
    <phoneticPr fontId="1" type="noConversion"/>
  </si>
  <si>
    <t>박철흥</t>
    <phoneticPr fontId="1" type="noConversion"/>
  </si>
  <si>
    <t>손민욱, 김종명, 김별, 안용한*, 권나현*</t>
    <phoneticPr fontId="1" type="noConversion"/>
  </si>
  <si>
    <t>C. Park; M. Son; J. Kim; B. Kim; Y. Ahn*; and N. Kwon</t>
    <phoneticPr fontId="1" type="noConversion"/>
  </si>
  <si>
    <t>H. A. T. Nguyen; D. H. Pham; B. Kim; Y. Ahn; and N. Kwon*</t>
    <phoneticPr fontId="1" type="noConversion"/>
  </si>
  <si>
    <t>https://www.mdpi.com/2071-1050/17/15/7072</t>
  </si>
  <si>
    <t>Developing a Life Cycle Assessment-based Framework for Module-based Impact Distribution in Adaptive Reuse of Modular Buildings</t>
    <phoneticPr fontId="1" type="noConversion"/>
  </si>
  <si>
    <r>
      <t>D. H. Ly; T. D. H. N. Nguyen;</t>
    </r>
    <r>
      <rPr>
        <sz val="8"/>
        <color rgb="FF1F1F1F"/>
        <rFont val="맑은 고딕"/>
        <family val="2"/>
        <charset val="129"/>
      </rPr>
      <t> </t>
    </r>
    <r>
      <rPr>
        <sz val="11"/>
        <color theme="1"/>
        <rFont val="맑은 고딕"/>
        <family val="2"/>
        <charset val="129"/>
        <scheme val="minor"/>
      </rPr>
      <t>H. Jang;</t>
    </r>
    <r>
      <rPr>
        <sz val="8"/>
        <color rgb="FF1F1F1F"/>
        <rFont val="맑은 고딕"/>
        <family val="2"/>
        <charset val="129"/>
      </rPr>
      <t> </t>
    </r>
    <r>
      <rPr>
        <sz val="11"/>
        <color theme="1"/>
        <rFont val="맑은 고딕"/>
        <family val="2"/>
        <charset val="129"/>
        <scheme val="minor"/>
      </rPr>
      <t>B. Kim;</t>
    </r>
    <r>
      <rPr>
        <sz val="8"/>
        <color rgb="FF1F1F1F"/>
        <rFont val="맑은 고딕"/>
        <family val="2"/>
        <charset val="129"/>
      </rPr>
      <t> </t>
    </r>
    <r>
      <rPr>
        <sz val="11"/>
        <color theme="1"/>
        <rFont val="맑은 고딕"/>
        <family val="2"/>
        <charset val="129"/>
        <scheme val="minor"/>
      </rPr>
      <t>Y. Ahn;</t>
    </r>
    <r>
      <rPr>
        <sz val="8"/>
        <color rgb="FF1F1F1F"/>
        <rFont val="맑은 고딕"/>
        <family val="2"/>
        <charset val="129"/>
      </rPr>
      <t> </t>
    </r>
    <r>
      <rPr>
        <sz val="11"/>
        <color theme="1"/>
        <rFont val="맑은 고딕"/>
        <family val="2"/>
        <charset val="129"/>
        <scheme val="minor"/>
      </rPr>
      <t>N. Kwon*</t>
    </r>
    <phoneticPr fontId="1" type="noConversion"/>
  </si>
  <si>
    <t>D. H. N. Nguyen, 장한별, 김별, 안용한, 권나현*</t>
    <phoneticPr fontId="1" type="noConversion"/>
  </si>
  <si>
    <t>Application of Adaptive Facade in Relocatable Modular School: A Parametric Assessment for Improving Energy Performance</t>
    <phoneticPr fontId="1" type="noConversion"/>
  </si>
  <si>
    <t>우수발표논문상(2024)</t>
    <phoneticPr fontId="1" type="noConversion"/>
  </si>
  <si>
    <t>https://doi.org/10.1016/j.jobe.2025.113703</t>
    <phoneticPr fontId="1" type="noConversion"/>
  </si>
  <si>
    <t>2352-7102</t>
    <phoneticPr fontId="1" type="noConversion"/>
  </si>
  <si>
    <t>0957-4174</t>
    <phoneticPr fontId="1" type="noConversion"/>
  </si>
  <si>
    <t>2666-1659</t>
    <phoneticPr fontId="1" type="noConversion"/>
  </si>
  <si>
    <t>0360-1323</t>
    <phoneticPr fontId="1" type="noConversion"/>
  </si>
  <si>
    <t>Moderating Effect of Project Type on the Relationship between Project Delivery Systems and Cost Performance</t>
    <phoneticPr fontId="1" type="noConversion"/>
  </si>
  <si>
    <t>Deep Learning Based Urban Building Coverage Ratio Estimation Focusing on Rapid Urbanization Areas</t>
    <phoneticPr fontId="1" type="noConversion"/>
  </si>
  <si>
    <t>TOPSIS and AHP-Based Multi-Criteria Decision-Making Approach for Evaluating Redevelopment in Old Residential Projects</t>
    <phoneticPr fontId="1" type="noConversion"/>
  </si>
  <si>
    <t>14(6)</t>
    <phoneticPr fontId="1" type="noConversion"/>
  </si>
  <si>
    <t>우수발표논문상</t>
    <phoneticPr fontId="1" type="noConversion"/>
  </si>
  <si>
    <t>우수발표논문상(2018)</t>
    <phoneticPr fontId="1" type="noConversion"/>
  </si>
  <si>
    <t>Best Poster Runner-up (2017)</t>
    <phoneticPr fontId="1" type="noConversion"/>
  </si>
  <si>
    <t>Best Poster Runner-Up</t>
    <phoneticPr fontId="1" type="noConversion"/>
  </si>
  <si>
    <t>Results in Engineering</t>
  </si>
  <si>
    <t>J. Kim; D. Jung; K. Jeon; Y. Ahn; W. Kim; N. Kwon*</t>
    <phoneticPr fontId="1" type="noConversion"/>
  </si>
  <si>
    <t>김종명</t>
    <phoneticPr fontId="1" type="noConversion"/>
  </si>
  <si>
    <t>정다혜, 전근수, 안용한, 김우재, 권나현*</t>
    <phoneticPr fontId="1" type="noConversion"/>
  </si>
  <si>
    <t>ESCI</t>
    <phoneticPr fontId="1" type="noConversion"/>
  </si>
  <si>
    <t>2590-1230</t>
    <phoneticPr fontId="1" type="noConversion"/>
  </si>
  <si>
    <t>Physics-regularized deep learning framework for floor impact sound prediction in residential buildings: A civil engineering approach</t>
    <phoneticPr fontId="1" type="noConversion"/>
  </si>
  <si>
    <t>https://doi.org/10.1016/j.rineng.2026.109400</t>
  </si>
  <si>
    <t>3년</t>
    <phoneticPr fontId="1" type="noConversion"/>
  </si>
  <si>
    <t>5년</t>
    <phoneticPr fontId="1" type="noConversion"/>
  </si>
  <si>
    <t>2026년 3월 기준</t>
    <phoneticPr fontId="1" type="noConversion"/>
  </si>
  <si>
    <t>최근 3년</t>
    <phoneticPr fontId="1" type="noConversion"/>
  </si>
  <si>
    <t>최근 4년</t>
    <phoneticPr fontId="1" type="noConversion"/>
  </si>
  <si>
    <t>Thu</t>
    <phoneticPr fontId="1" type="noConversion"/>
  </si>
  <si>
    <t>리뷰중</t>
    <phoneticPr fontId="1" type="noConversion"/>
  </si>
  <si>
    <t>종명</t>
    <phoneticPr fontId="1" type="noConversion"/>
  </si>
  <si>
    <t>2-3개</t>
    <phoneticPr fontId="1" type="noConversion"/>
  </si>
  <si>
    <t>휘</t>
    <phoneticPr fontId="1" type="noConversion"/>
  </si>
  <si>
    <t>1-2개</t>
    <phoneticPr fontId="1" type="noConversion"/>
  </si>
  <si>
    <t>1저자</t>
    <phoneticPr fontId="1" type="noConversion"/>
  </si>
  <si>
    <t>종남</t>
    <phoneticPr fontId="1" type="noConversion"/>
  </si>
  <si>
    <t>석현</t>
    <phoneticPr fontId="1" type="noConversion"/>
  </si>
  <si>
    <t>1개</t>
    <phoneticPr fontId="1" type="noConversion"/>
  </si>
  <si>
    <t>어진</t>
    <phoneticPr fontId="1" type="noConversion"/>
  </si>
  <si>
    <t>세연</t>
    <phoneticPr fontId="1" type="noConversion"/>
  </si>
  <si>
    <t>총합</t>
    <phoneticPr fontId="1" type="noConversion"/>
  </si>
  <si>
    <t>최근 5년</t>
    <phoneticPr fontId="1" type="noConversion"/>
  </si>
  <si>
    <t>10-14편 가능</t>
    <phoneticPr fontId="1" type="noConversion"/>
  </si>
  <si>
    <t>예정목록</t>
    <phoneticPr fontId="1" type="noConversion"/>
  </si>
  <si>
    <t>인원수</t>
    <phoneticPr fontId="1" type="noConversion"/>
  </si>
  <si>
    <t>등급</t>
    <phoneticPr fontId="1" type="noConversion"/>
  </si>
  <si>
    <t>10%이내</t>
    <phoneticPr fontId="1" type="noConversion"/>
  </si>
  <si>
    <t>O</t>
    <phoneticPr fontId="1" type="noConversion"/>
  </si>
  <si>
    <t>우선순위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</si>
</sst>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rgb="FF0033CC"/>
      <name val="맑은 고딕"/>
      <family val="3"/>
      <charset val="129"/>
      <scheme val="minor"/>
    </font>
    <font>
      <sz val="8"/>
      <color rgb="FF1F1F1F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2B2B2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7" borderId="8" applyNumberFormat="0" applyFont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16" fillId="10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2" fillId="0" borderId="1" xfId="0" applyFont="1" applyBorder="1" applyProtection="1">
      <alignment vertical="center"/>
      <protection locked="0"/>
    </xf>
    <xf numFmtId="0" fontId="0" fillId="0" borderId="1" xfId="0" applyBorder="1">
      <alignment vertical="center"/>
    </xf>
    <xf numFmtId="0" fontId="4" fillId="0" borderId="0" xfId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Protection="1">
      <alignment vertical="center"/>
      <protection locked="0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177" fontId="6" fillId="5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3" xfId="0" applyFont="1" applyFill="1" applyBorder="1" applyProtection="1">
      <alignment vertical="center"/>
      <protection locked="0"/>
    </xf>
    <xf numFmtId="0" fontId="0" fillId="2" borderId="3" xfId="0" applyFill="1" applyBorder="1">
      <alignment vertical="center"/>
    </xf>
    <xf numFmtId="0" fontId="0" fillId="0" borderId="6" xfId="0" applyBorder="1">
      <alignment vertical="center"/>
    </xf>
    <xf numFmtId="0" fontId="0" fillId="6" borderId="1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9" fillId="9" borderId="9" xfId="3">
      <alignment vertical="center"/>
    </xf>
    <xf numFmtId="0" fontId="0" fillId="8" borderId="1" xfId="0" applyFill="1" applyBorder="1" applyAlignment="1">
      <alignment horizontal="right" vertical="center"/>
    </xf>
    <xf numFmtId="0" fontId="0" fillId="8" borderId="0" xfId="0" applyFill="1">
      <alignment vertical="center"/>
    </xf>
    <xf numFmtId="0" fontId="0" fillId="8" borderId="3" xfId="0" applyFill="1" applyBorder="1" applyAlignment="1">
      <alignment horizontal="right" vertical="center"/>
    </xf>
    <xf numFmtId="0" fontId="0" fillId="6" borderId="0" xfId="0" applyFill="1">
      <alignment vertical="center"/>
    </xf>
    <xf numFmtId="0" fontId="4" fillId="0" borderId="1" xfId="1" applyFill="1" applyBorder="1">
      <alignment vertical="center"/>
    </xf>
    <xf numFmtId="0" fontId="7" fillId="0" borderId="1" xfId="0" applyFont="1" applyBorder="1" applyProtection="1">
      <alignment vertical="center"/>
      <protection locked="0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8" xfId="2" applyFont="1" applyFill="1">
      <alignment vertical="center"/>
    </xf>
    <xf numFmtId="0" fontId="2" fillId="0" borderId="0" xfId="0" applyFont="1">
      <alignment vertical="center"/>
    </xf>
    <xf numFmtId="0" fontId="7" fillId="0" borderId="3" xfId="0" applyFont="1" applyBorder="1">
      <alignment vertical="center"/>
    </xf>
    <xf numFmtId="0" fontId="12" fillId="0" borderId="1" xfId="1" applyFont="1" applyFill="1" applyBorder="1">
      <alignment vertical="center"/>
    </xf>
    <xf numFmtId="0" fontId="2" fillId="0" borderId="2" xfId="0" applyFont="1" applyBorder="1" applyProtection="1">
      <alignment vertical="center"/>
      <protection locked="0"/>
    </xf>
    <xf numFmtId="0" fontId="7" fillId="0" borderId="1" xfId="2" applyFont="1" applyFill="1" applyBorder="1">
      <alignment vertical="center"/>
    </xf>
    <xf numFmtId="0" fontId="0" fillId="0" borderId="14" xfId="2" applyFont="1" applyFill="1" applyBorder="1">
      <alignment vertical="center"/>
    </xf>
    <xf numFmtId="0" fontId="0" fillId="0" borderId="13" xfId="2" applyFont="1" applyFill="1" applyBorder="1">
      <alignment vertical="center"/>
    </xf>
    <xf numFmtId="0" fontId="4" fillId="0" borderId="1" xfId="1" applyFill="1" applyBorder="1" applyAlignment="1">
      <alignment vertical="center"/>
    </xf>
    <xf numFmtId="0" fontId="0" fillId="0" borderId="7" xfId="0" applyBorder="1">
      <alignment vertical="center"/>
    </xf>
    <xf numFmtId="0" fontId="0" fillId="0" borderId="1" xfId="2" applyFont="1" applyFill="1" applyBorder="1">
      <alignment vertical="center"/>
    </xf>
    <xf numFmtId="0" fontId="0" fillId="8" borderId="1" xfId="0" applyFill="1" applyBorder="1">
      <alignment vertical="center"/>
    </xf>
    <xf numFmtId="0" fontId="0" fillId="0" borderId="15" xfId="2" applyFont="1" applyFill="1" applyBorder="1">
      <alignment vertical="center"/>
    </xf>
    <xf numFmtId="0" fontId="2" fillId="0" borderId="1" xfId="2" applyFont="1" applyFill="1" applyBorder="1">
      <alignment vertical="center"/>
    </xf>
    <xf numFmtId="0" fontId="13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0" fillId="0" borderId="8" xfId="2" applyFont="1" applyFill="1">
      <alignment vertical="center"/>
    </xf>
    <xf numFmtId="0" fontId="2" fillId="0" borderId="8" xfId="2" applyFont="1" applyFill="1">
      <alignment vertical="center"/>
    </xf>
    <xf numFmtId="0" fontId="0" fillId="0" borderId="10" xfId="0" applyBorder="1">
      <alignment vertical="center"/>
    </xf>
    <xf numFmtId="0" fontId="0" fillId="0" borderId="1" xfId="2" applyFont="1" applyFill="1" applyBorder="1" applyAlignment="1">
      <alignment horizontal="right" vertical="center"/>
    </xf>
    <xf numFmtId="0" fontId="4" fillId="0" borderId="1" xfId="1" applyBorder="1">
      <alignment vertical="center"/>
    </xf>
    <xf numFmtId="0" fontId="7" fillId="0" borderId="3" xfId="2" applyFont="1" applyFill="1" applyBorder="1">
      <alignment vertical="center"/>
    </xf>
    <xf numFmtId="0" fontId="7" fillId="0" borderId="11" xfId="2" applyFont="1" applyFill="1" applyBorder="1">
      <alignment vertical="center"/>
    </xf>
    <xf numFmtId="0" fontId="4" fillId="0" borderId="1" xfId="1" applyFill="1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0" fontId="2" fillId="0" borderId="3" xfId="0" applyFont="1" applyBorder="1" applyProtection="1">
      <alignment vertical="center"/>
      <protection locked="0"/>
    </xf>
    <xf numFmtId="0" fontId="4" fillId="0" borderId="3" xfId="1" applyFill="1" applyBorder="1" applyAlignment="1">
      <alignment vertical="center"/>
    </xf>
    <xf numFmtId="0" fontId="4" fillId="2" borderId="3" xfId="1" applyFill="1" applyBorder="1">
      <alignment vertical="center"/>
    </xf>
    <xf numFmtId="0" fontId="4" fillId="0" borderId="2" xfId="1" applyFill="1" applyBorder="1">
      <alignment vertical="center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2" applyFont="1" applyFill="1" applyBorder="1" applyProtection="1">
      <alignment vertical="center"/>
      <protection locked="0"/>
    </xf>
    <xf numFmtId="0" fontId="15" fillId="0" borderId="1" xfId="2" applyFont="1" applyFill="1" applyBorder="1" applyProtection="1">
      <alignment vertical="center"/>
      <protection locked="0"/>
    </xf>
    <xf numFmtId="0" fontId="15" fillId="0" borderId="3" xfId="2" applyFont="1" applyFill="1" applyBorder="1" applyProtection="1">
      <alignment vertical="center"/>
      <protection locked="0"/>
    </xf>
    <xf numFmtId="0" fontId="0" fillId="0" borderId="10" xfId="0" applyBorder="1" applyAlignment="1">
      <alignment horizontal="center" vertical="center"/>
    </xf>
    <xf numFmtId="0" fontId="15" fillId="0" borderId="1" xfId="0" applyFont="1" applyBorder="1">
      <alignment vertical="center"/>
    </xf>
    <xf numFmtId="0" fontId="15" fillId="0" borderId="3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4" fillId="0" borderId="3" xfId="1" applyFill="1" applyBorder="1">
      <alignment vertical="center"/>
    </xf>
    <xf numFmtId="0" fontId="0" fillId="0" borderId="2" xfId="0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15" fillId="0" borderId="3" xfId="0" applyFont="1" applyBorder="1" applyProtection="1">
      <alignment vertical="center"/>
      <protection locked="0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right" vertical="center"/>
    </xf>
    <xf numFmtId="0" fontId="7" fillId="0" borderId="3" xfId="0" applyFont="1" applyBorder="1" applyProtection="1">
      <alignment vertical="center"/>
      <protection locked="0"/>
    </xf>
    <xf numFmtId="0" fontId="7" fillId="0" borderId="8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10" fillId="0" borderId="0" xfId="0" applyFont="1">
      <alignment vertical="center"/>
    </xf>
    <xf numFmtId="0" fontId="0" fillId="0" borderId="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" fillId="0" borderId="0" xfId="0" applyFont="1" applyProtection="1">
      <alignment vertical="center"/>
      <protection locked="0"/>
    </xf>
    <xf numFmtId="0" fontId="4" fillId="0" borderId="0" xfId="1" applyFill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6" fillId="10" borderId="1" xfId="4" applyBorder="1">
      <alignment vertical="center"/>
    </xf>
    <xf numFmtId="0" fontId="16" fillId="10" borderId="3" xfId="4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0" fillId="10" borderId="2" xfId="4" applyFont="1" applyBorder="1">
      <alignment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right" vertical="center"/>
    </xf>
    <xf numFmtId="0" fontId="10" fillId="0" borderId="2" xfId="2" applyFont="1" applyFill="1" applyBorder="1" applyAlignment="1">
      <alignment horizontal="right" vertical="center"/>
    </xf>
    <xf numFmtId="0" fontId="10" fillId="0" borderId="2" xfId="0" applyFont="1" applyBorder="1" applyProtection="1">
      <alignment vertical="center"/>
      <protection locked="0"/>
    </xf>
    <xf numFmtId="0" fontId="17" fillId="0" borderId="2" xfId="1" applyFont="1" applyFill="1" applyBorder="1" applyAlignment="1">
      <alignment vertical="center"/>
    </xf>
    <xf numFmtId="0" fontId="18" fillId="0" borderId="1" xfId="2" applyFont="1" applyFill="1" applyBorder="1" applyProtection="1">
      <alignment vertical="center"/>
      <protection locked="0"/>
    </xf>
    <xf numFmtId="0" fontId="18" fillId="0" borderId="2" xfId="2" applyFont="1" applyFill="1" applyBorder="1" applyProtection="1">
      <alignment vertical="center"/>
      <protection locked="0"/>
    </xf>
    <xf numFmtId="0" fontId="17" fillId="0" borderId="1" xfId="1" applyFont="1" applyFill="1" applyBorder="1">
      <alignment vertical="center"/>
    </xf>
    <xf numFmtId="0" fontId="0" fillId="0" borderId="10" xfId="2" applyFont="1" applyFill="1" applyBorder="1">
      <alignment vertical="center"/>
    </xf>
    <xf numFmtId="0" fontId="0" fillId="0" borderId="7" xfId="2" applyFont="1" applyFill="1" applyBorder="1">
      <alignment vertical="center"/>
    </xf>
    <xf numFmtId="0" fontId="0" fillId="7" borderId="0" xfId="2" applyFont="1" applyBorder="1" applyAlignment="1">
      <alignment horizontal="center" vertical="center"/>
    </xf>
    <xf numFmtId="0" fontId="0" fillId="7" borderId="13" xfId="2" applyFont="1" applyBorder="1" applyAlignment="1">
      <alignment horizontal="center" vertical="center"/>
    </xf>
    <xf numFmtId="0" fontId="0" fillId="7" borderId="8" xfId="2" applyFont="1" applyAlignment="1">
      <alignment horizontal="center" vertical="center"/>
    </xf>
  </cellXfs>
  <cellStyles count="5">
    <cellStyle name="메모" xfId="2" builtinId="10"/>
    <cellStyle name="보통" xfId="4" builtinId="28"/>
    <cellStyle name="셀 확인" xfId="3" builtinId="23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녹색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360132324008965" TargetMode="External"/><Relationship Id="rId13" Type="http://schemas.openxmlformats.org/officeDocument/2006/relationships/hyperlink" Target="https://www.sciencedirect.com/science/article/pii/S0957417425013107" TargetMode="External"/><Relationship Id="rId3" Type="http://schemas.openxmlformats.org/officeDocument/2006/relationships/hyperlink" Target="https://www.sciencedirect.com/science/article/pii/S235271022100485X?dgcid=coauthor" TargetMode="External"/><Relationship Id="rId7" Type="http://schemas.openxmlformats.org/officeDocument/2006/relationships/hyperlink" Target="https://link.springer.com/article/10.1007/s12205-024-0779-z" TargetMode="External"/><Relationship Id="rId12" Type="http://schemas.openxmlformats.org/officeDocument/2006/relationships/hyperlink" Target="https://www.sciencedirect.com/science/article/pii/S2666165925000559" TargetMode="External"/><Relationship Id="rId2" Type="http://schemas.openxmlformats.org/officeDocument/2006/relationships/hyperlink" Target="https://www.tandfonline.com/doi/full/10.1080/13467581.2020.178639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sciencedirect.com/science/article/pii/S0926580520309092" TargetMode="External"/><Relationship Id="rId6" Type="http://schemas.openxmlformats.org/officeDocument/2006/relationships/hyperlink" Target="https://www.mdpi.com/2075-5309/14/6/1536" TargetMode="External"/><Relationship Id="rId11" Type="http://schemas.openxmlformats.org/officeDocument/2006/relationships/hyperlink" Target="https://doi.org/10.3390/buildings14124028" TargetMode="External"/><Relationship Id="rId5" Type="http://schemas.openxmlformats.org/officeDocument/2006/relationships/hyperlink" Target="https://ascelibrary.org/doi/full/10.1061/%28ASCE%29ME.1943-5479.0001097" TargetMode="External"/><Relationship Id="rId15" Type="http://schemas.openxmlformats.org/officeDocument/2006/relationships/hyperlink" Target="https://doi.org/10.1016/j.jobe.2025.113703" TargetMode="External"/><Relationship Id="rId10" Type="http://schemas.openxmlformats.org/officeDocument/2006/relationships/hyperlink" Target="https://doi.org/10.1016/j.jobe.2024.111232" TargetMode="External"/><Relationship Id="rId4" Type="http://schemas.openxmlformats.org/officeDocument/2006/relationships/hyperlink" Target="https://www.mdpi.com/2076-3417/12/22/11428" TargetMode="External"/><Relationship Id="rId9" Type="http://schemas.openxmlformats.org/officeDocument/2006/relationships/hyperlink" Target="https://ascelibrary.org/doi/10.1061/JMENEA.MEENG-6067" TargetMode="External"/><Relationship Id="rId14" Type="http://schemas.openxmlformats.org/officeDocument/2006/relationships/hyperlink" Target="https://www.mdpi.com/2075-5309/14/3/69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ric.or.kr/User/Rdoc/DocRdoc.aspx?BrsDataBaseName=RDOC&amp;PrimaryKey=411805&amp;DBNM=RDCR" TargetMode="External"/><Relationship Id="rId2" Type="http://schemas.openxmlformats.org/officeDocument/2006/relationships/hyperlink" Target="https://www.auric.or.kr/user/search/site/aik2017/doc_rdoc.asp?usernum=22366&amp;seid=aaa0frcf8W6FIbwWhOlyzuywvox2Otl8BPZAf7GbLK4lWZp5SBLjXdHhSizK123678645&amp;QU=&amp;PrimaryKey=435146&amp;BrsDataBaseName=RDOC&amp;DBNM=RD_R" TargetMode="External"/><Relationship Id="rId1" Type="http://schemas.openxmlformats.org/officeDocument/2006/relationships/hyperlink" Target="https://www.aik.or.kr/pages_search/search.v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zoomScaleSheetLayoutView="115" workbookViewId="0">
      <pane xSplit="3" topLeftCell="D1" activePane="topRight" state="frozen"/>
      <selection pane="topRight" activeCell="J23" sqref="J23"/>
    </sheetView>
  </sheetViews>
  <sheetFormatPr defaultColWidth="8.83203125" defaultRowHeight="17" x14ac:dyDescent="0.45"/>
  <cols>
    <col min="1" max="2" width="6.08203125" customWidth="1"/>
    <col min="3" max="4" width="6.4140625" customWidth="1"/>
    <col min="5" max="5" width="10.6640625" bestFit="1" customWidth="1"/>
    <col min="6" max="6" width="6.08203125" customWidth="1"/>
    <col min="9" max="9" width="6.9140625" customWidth="1"/>
    <col min="10" max="10" width="121.08203125" customWidth="1"/>
    <col min="11" max="11" width="10" style="16" customWidth="1"/>
    <col min="12" max="13" width="10" style="16" bestFit="1" customWidth="1"/>
    <col min="14" max="14" width="53.08203125" bestFit="1" customWidth="1"/>
    <col min="15" max="15" width="34" bestFit="1" customWidth="1"/>
    <col min="16" max="16" width="11" customWidth="1"/>
    <col min="17" max="17" width="10.6640625" customWidth="1"/>
    <col min="18" max="20" width="11.5" customWidth="1"/>
    <col min="23" max="23" width="53.4140625" customWidth="1"/>
    <col min="24" max="24" width="13" bestFit="1" customWidth="1"/>
    <col min="25" max="25" width="62.1640625" customWidth="1"/>
    <col min="26" max="26" width="84.5" bestFit="1" customWidth="1"/>
  </cols>
  <sheetData>
    <row r="1" spans="1:26" x14ac:dyDescent="0.45">
      <c r="A1" s="54" t="s">
        <v>208</v>
      </c>
      <c r="B1" s="54" t="s">
        <v>375</v>
      </c>
      <c r="C1" s="54" t="s">
        <v>374</v>
      </c>
      <c r="D1" s="54" t="s">
        <v>207</v>
      </c>
      <c r="E1" s="54" t="s">
        <v>6</v>
      </c>
      <c r="F1" s="54" t="s">
        <v>377</v>
      </c>
      <c r="G1" s="54" t="s">
        <v>5</v>
      </c>
      <c r="H1" s="54"/>
      <c r="I1" s="54" t="s">
        <v>373</v>
      </c>
      <c r="J1" s="100" t="s">
        <v>1</v>
      </c>
      <c r="K1" s="101" t="s">
        <v>274</v>
      </c>
      <c r="L1" s="101" t="s">
        <v>137</v>
      </c>
      <c r="M1" s="101" t="s">
        <v>138</v>
      </c>
      <c r="N1" s="54" t="s">
        <v>2</v>
      </c>
      <c r="O1" s="54"/>
      <c r="P1" s="54" t="s">
        <v>194</v>
      </c>
      <c r="Q1" s="54" t="s">
        <v>195</v>
      </c>
      <c r="R1" s="54" t="s">
        <v>222</v>
      </c>
      <c r="S1" s="54" t="s">
        <v>221</v>
      </c>
      <c r="T1" s="54" t="s">
        <v>193</v>
      </c>
      <c r="U1" s="54" t="s">
        <v>3</v>
      </c>
      <c r="V1" s="54" t="s">
        <v>143</v>
      </c>
      <c r="W1" s="54" t="s">
        <v>4</v>
      </c>
      <c r="X1" s="54" t="s">
        <v>5</v>
      </c>
      <c r="Y1" s="54" t="s">
        <v>238</v>
      </c>
      <c r="Z1" s="54" t="s">
        <v>7</v>
      </c>
    </row>
    <row r="2" spans="1:26" s="93" customFormat="1" x14ac:dyDescent="0.45">
      <c r="A2" s="104">
        <v>1</v>
      </c>
      <c r="B2" s="104"/>
      <c r="C2" s="104" t="s">
        <v>348</v>
      </c>
      <c r="D2" s="105"/>
      <c r="E2" s="105" t="s">
        <v>349</v>
      </c>
      <c r="F2" s="105"/>
      <c r="G2" s="105" t="s">
        <v>94</v>
      </c>
      <c r="H2" s="105">
        <v>1</v>
      </c>
      <c r="I2" s="105">
        <v>6</v>
      </c>
      <c r="J2" s="114" t="s">
        <v>350</v>
      </c>
      <c r="K2" s="106"/>
      <c r="L2" s="106">
        <v>20260204</v>
      </c>
      <c r="M2" s="106">
        <v>20260204</v>
      </c>
      <c r="N2" s="105" t="s">
        <v>344</v>
      </c>
      <c r="O2" s="105" t="s">
        <v>271</v>
      </c>
      <c r="P2" s="105">
        <v>7.9</v>
      </c>
      <c r="Q2" s="105">
        <v>7.9</v>
      </c>
      <c r="R2" s="105">
        <v>96.93</v>
      </c>
      <c r="S2" s="107">
        <f t="shared" ref="S2:S33" si="0">100-R2</f>
        <v>3.0699999999999932</v>
      </c>
      <c r="T2" s="105">
        <v>29</v>
      </c>
      <c r="U2" s="105">
        <v>6</v>
      </c>
      <c r="V2" s="105" t="s">
        <v>346</v>
      </c>
      <c r="W2" s="105" t="s">
        <v>347</v>
      </c>
      <c r="X2" s="105" t="s">
        <v>94</v>
      </c>
      <c r="Y2" s="93" t="s">
        <v>345</v>
      </c>
      <c r="Z2" s="105" t="s">
        <v>351</v>
      </c>
    </row>
    <row r="3" spans="1:26" x14ac:dyDescent="0.45">
      <c r="A3" s="21">
        <v>2</v>
      </c>
      <c r="B3" s="21" t="s">
        <v>376</v>
      </c>
      <c r="C3" s="21" t="s">
        <v>16</v>
      </c>
      <c r="D3" s="2"/>
      <c r="E3" s="2" t="s">
        <v>332</v>
      </c>
      <c r="F3" s="2">
        <v>4</v>
      </c>
      <c r="G3" s="2" t="s">
        <v>94</v>
      </c>
      <c r="H3" s="2">
        <v>1</v>
      </c>
      <c r="I3" s="2">
        <v>6</v>
      </c>
      <c r="J3" s="77" t="s">
        <v>326</v>
      </c>
      <c r="K3" s="21"/>
      <c r="L3" s="18">
        <v>202510</v>
      </c>
      <c r="M3" s="18">
        <v>20250806</v>
      </c>
      <c r="N3" s="2" t="s">
        <v>276</v>
      </c>
      <c r="O3" s="2" t="s">
        <v>271</v>
      </c>
      <c r="P3" s="2">
        <v>7.4</v>
      </c>
      <c r="Q3" s="2">
        <v>5.3179999999999996</v>
      </c>
      <c r="R3" s="18">
        <v>94.8</v>
      </c>
      <c r="S3" s="57">
        <f t="shared" si="0"/>
        <v>5.2000000000000028</v>
      </c>
      <c r="T3" s="2">
        <v>112</v>
      </c>
      <c r="U3" s="2">
        <v>6</v>
      </c>
      <c r="V3" s="2" t="s">
        <v>289</v>
      </c>
      <c r="W3" s="2" t="s">
        <v>328</v>
      </c>
      <c r="X3" s="2" t="s">
        <v>94</v>
      </c>
      <c r="Y3" s="2" t="s">
        <v>327</v>
      </c>
      <c r="Z3" s="34" t="s">
        <v>331</v>
      </c>
    </row>
    <row r="4" spans="1:26" x14ac:dyDescent="0.45">
      <c r="A4" s="21">
        <v>3</v>
      </c>
      <c r="B4" s="21"/>
      <c r="C4" s="21" t="s">
        <v>16</v>
      </c>
      <c r="D4" s="61"/>
      <c r="E4" s="45" t="s">
        <v>210</v>
      </c>
      <c r="F4" s="45">
        <v>9</v>
      </c>
      <c r="G4" s="2" t="s">
        <v>285</v>
      </c>
      <c r="H4" s="61">
        <v>1</v>
      </c>
      <c r="I4" s="61">
        <v>6</v>
      </c>
      <c r="J4" s="78" t="s">
        <v>338</v>
      </c>
      <c r="K4" s="21"/>
      <c r="L4" s="18">
        <v>20250804</v>
      </c>
      <c r="M4" s="18">
        <v>20250804</v>
      </c>
      <c r="N4" s="45" t="s">
        <v>81</v>
      </c>
      <c r="O4" s="45" t="s">
        <v>273</v>
      </c>
      <c r="P4" s="45">
        <v>3.3</v>
      </c>
      <c r="Q4" s="45">
        <v>2.5760000000000001</v>
      </c>
      <c r="R4" s="42">
        <v>58.4</v>
      </c>
      <c r="S4" s="42">
        <f t="shared" si="0"/>
        <v>41.6</v>
      </c>
      <c r="T4" s="61">
        <v>17</v>
      </c>
      <c r="U4" s="61">
        <v>6</v>
      </c>
      <c r="V4" s="61" t="s">
        <v>321</v>
      </c>
      <c r="W4" s="61" t="s">
        <v>322</v>
      </c>
      <c r="X4" s="61" t="s">
        <v>249</v>
      </c>
      <c r="Y4" s="61" t="s">
        <v>323</v>
      </c>
      <c r="Z4" s="61" t="s">
        <v>325</v>
      </c>
    </row>
    <row r="5" spans="1:26" x14ac:dyDescent="0.45">
      <c r="A5" s="104">
        <v>4</v>
      </c>
      <c r="B5" s="21" t="s">
        <v>376</v>
      </c>
      <c r="C5" s="21" t="s">
        <v>16</v>
      </c>
      <c r="D5" s="79"/>
      <c r="E5" s="2" t="s">
        <v>333</v>
      </c>
      <c r="F5" s="2">
        <v>3</v>
      </c>
      <c r="G5" s="2" t="s">
        <v>94</v>
      </c>
      <c r="H5" s="79">
        <v>1</v>
      </c>
      <c r="I5" s="79">
        <v>5</v>
      </c>
      <c r="J5" s="77" t="s">
        <v>316</v>
      </c>
      <c r="K5" s="27"/>
      <c r="L5" s="67">
        <v>20250705</v>
      </c>
      <c r="M5" s="67">
        <v>20250424</v>
      </c>
      <c r="N5" s="79" t="s">
        <v>313</v>
      </c>
      <c r="O5" s="2" t="s">
        <v>271</v>
      </c>
      <c r="P5" s="79">
        <v>7.5</v>
      </c>
      <c r="Q5" s="79">
        <v>7.5</v>
      </c>
      <c r="R5" s="79">
        <v>93.9</v>
      </c>
      <c r="S5" s="79">
        <f t="shared" si="0"/>
        <v>6.0999999999999943</v>
      </c>
      <c r="T5" s="79">
        <v>282</v>
      </c>
      <c r="U5" s="79">
        <v>5</v>
      </c>
      <c r="V5" s="2" t="s">
        <v>314</v>
      </c>
      <c r="W5" s="2" t="s">
        <v>318</v>
      </c>
      <c r="X5" s="2" t="s">
        <v>94</v>
      </c>
      <c r="Y5" s="2" t="s">
        <v>324</v>
      </c>
      <c r="Z5" s="71" t="s">
        <v>319</v>
      </c>
    </row>
    <row r="6" spans="1:26" x14ac:dyDescent="0.45">
      <c r="A6" s="21">
        <v>5</v>
      </c>
      <c r="B6" s="21" t="s">
        <v>376</v>
      </c>
      <c r="C6" s="21" t="s">
        <v>16</v>
      </c>
      <c r="D6" s="2">
        <v>2</v>
      </c>
      <c r="E6" s="2" t="s">
        <v>334</v>
      </c>
      <c r="F6" s="2">
        <v>2</v>
      </c>
      <c r="G6" s="2" t="s">
        <v>94</v>
      </c>
      <c r="H6" s="2">
        <v>1</v>
      </c>
      <c r="I6" s="2">
        <v>5</v>
      </c>
      <c r="J6" s="77" t="s">
        <v>300</v>
      </c>
      <c r="K6" s="21"/>
      <c r="L6" s="18">
        <v>20250417</v>
      </c>
      <c r="M6" s="18">
        <v>202504</v>
      </c>
      <c r="N6" s="2" t="s">
        <v>301</v>
      </c>
      <c r="O6" s="2" t="s">
        <v>271</v>
      </c>
      <c r="P6" s="2">
        <v>8.9</v>
      </c>
      <c r="Q6" s="2">
        <v>6.2</v>
      </c>
      <c r="R6" s="2">
        <v>96.4</v>
      </c>
      <c r="S6" s="2">
        <f t="shared" si="0"/>
        <v>3.5999999999999943</v>
      </c>
      <c r="T6" s="2">
        <v>22</v>
      </c>
      <c r="U6" s="2">
        <v>5</v>
      </c>
      <c r="V6" s="2" t="s">
        <v>298</v>
      </c>
      <c r="W6" s="2" t="s">
        <v>315</v>
      </c>
      <c r="X6" s="2" t="s">
        <v>94</v>
      </c>
      <c r="Y6" s="2" t="s">
        <v>299</v>
      </c>
      <c r="Z6" s="34" t="s">
        <v>317</v>
      </c>
    </row>
    <row r="7" spans="1:26" x14ac:dyDescent="0.45">
      <c r="A7" s="21">
        <v>6</v>
      </c>
      <c r="B7" s="21" t="s">
        <v>376</v>
      </c>
      <c r="C7" s="21" t="s">
        <v>16</v>
      </c>
      <c r="D7" s="2">
        <v>2</v>
      </c>
      <c r="E7" s="36" t="s">
        <v>214</v>
      </c>
      <c r="F7" s="36">
        <v>5</v>
      </c>
      <c r="G7" s="2" t="s">
        <v>254</v>
      </c>
      <c r="H7" s="2">
        <v>1</v>
      </c>
      <c r="I7" s="2">
        <v>5</v>
      </c>
      <c r="J7" s="74" t="s">
        <v>256</v>
      </c>
      <c r="K7" s="58">
        <v>202501</v>
      </c>
      <c r="L7" s="18">
        <v>20250101</v>
      </c>
      <c r="M7" s="62">
        <v>20240928</v>
      </c>
      <c r="N7" s="36" t="s">
        <v>277</v>
      </c>
      <c r="O7" s="36" t="s">
        <v>272</v>
      </c>
      <c r="P7" s="36">
        <v>7</v>
      </c>
      <c r="Q7" s="36">
        <v>6.415</v>
      </c>
      <c r="R7" s="19">
        <v>93.2</v>
      </c>
      <c r="S7" s="57">
        <f t="shared" si="0"/>
        <v>6.7999999999999972</v>
      </c>
      <c r="T7" s="18" t="s">
        <v>265</v>
      </c>
      <c r="U7" s="2">
        <v>5</v>
      </c>
      <c r="V7" s="2" t="s">
        <v>121</v>
      </c>
      <c r="W7" s="2" t="s">
        <v>257</v>
      </c>
      <c r="X7" s="2" t="s">
        <v>254</v>
      </c>
      <c r="Y7" s="1" t="s">
        <v>258</v>
      </c>
      <c r="Z7" s="51" t="s">
        <v>266</v>
      </c>
    </row>
    <row r="8" spans="1:26" x14ac:dyDescent="0.45">
      <c r="A8" s="104">
        <v>7</v>
      </c>
      <c r="B8" s="21" t="s">
        <v>376</v>
      </c>
      <c r="C8" s="21" t="s">
        <v>16</v>
      </c>
      <c r="D8" s="28"/>
      <c r="E8" s="28" t="s">
        <v>332</v>
      </c>
      <c r="F8" s="28">
        <v>7</v>
      </c>
      <c r="G8" s="28" t="s">
        <v>94</v>
      </c>
      <c r="H8" s="28">
        <v>1</v>
      </c>
      <c r="I8" s="28">
        <v>6</v>
      </c>
      <c r="J8" s="75" t="s">
        <v>267</v>
      </c>
      <c r="K8" s="80">
        <v>202412</v>
      </c>
      <c r="L8" s="80">
        <v>20241201</v>
      </c>
      <c r="M8" s="80">
        <v>20241105</v>
      </c>
      <c r="N8" s="28" t="s">
        <v>276</v>
      </c>
      <c r="O8" s="28" t="s">
        <v>271</v>
      </c>
      <c r="P8" s="28">
        <v>7.4</v>
      </c>
      <c r="Q8" s="28">
        <v>5.3179999999999996</v>
      </c>
      <c r="R8" s="80">
        <v>94.8</v>
      </c>
      <c r="S8" s="81">
        <f t="shared" si="0"/>
        <v>5.2000000000000028</v>
      </c>
      <c r="T8" s="28">
        <v>98</v>
      </c>
      <c r="U8" s="28">
        <v>6</v>
      </c>
      <c r="V8" s="28" t="s">
        <v>289</v>
      </c>
      <c r="W8" s="28" t="s">
        <v>269</v>
      </c>
      <c r="X8" s="28" t="s">
        <v>268</v>
      </c>
      <c r="Y8" s="28" t="s">
        <v>270</v>
      </c>
      <c r="Z8" s="82" t="s">
        <v>290</v>
      </c>
    </row>
    <row r="9" spans="1:26" x14ac:dyDescent="0.45">
      <c r="A9" s="21">
        <v>8</v>
      </c>
      <c r="B9" s="21"/>
      <c r="C9" s="21" t="s">
        <v>16</v>
      </c>
      <c r="D9" s="2"/>
      <c r="E9" s="36" t="s">
        <v>240</v>
      </c>
      <c r="F9" s="36">
        <v>10</v>
      </c>
      <c r="G9" s="2" t="s">
        <v>285</v>
      </c>
      <c r="H9" s="2">
        <v>1</v>
      </c>
      <c r="I9" s="2">
        <v>4</v>
      </c>
      <c r="J9" s="77" t="s">
        <v>296</v>
      </c>
      <c r="K9" s="18">
        <v>202412</v>
      </c>
      <c r="L9" s="18">
        <v>20241218</v>
      </c>
      <c r="M9" s="18">
        <v>20241218</v>
      </c>
      <c r="N9" s="36" t="s">
        <v>236</v>
      </c>
      <c r="O9" s="36" t="s">
        <v>273</v>
      </c>
      <c r="P9" s="36">
        <v>3.1</v>
      </c>
      <c r="Q9" s="36">
        <v>3.8</v>
      </c>
      <c r="R9" s="19">
        <v>67.900000000000006</v>
      </c>
      <c r="S9" s="19">
        <f t="shared" si="0"/>
        <v>32.099999999999994</v>
      </c>
      <c r="T9" s="18" t="s">
        <v>295</v>
      </c>
      <c r="U9" s="18">
        <v>4</v>
      </c>
      <c r="V9" s="2" t="s">
        <v>291</v>
      </c>
      <c r="W9" s="2" t="s">
        <v>293</v>
      </c>
      <c r="X9" s="2" t="s">
        <v>249</v>
      </c>
      <c r="Y9" s="2" t="s">
        <v>292</v>
      </c>
      <c r="Z9" s="34" t="s">
        <v>294</v>
      </c>
    </row>
    <row r="10" spans="1:26" x14ac:dyDescent="0.45">
      <c r="A10" s="21">
        <v>9</v>
      </c>
      <c r="B10" s="21" t="s">
        <v>376</v>
      </c>
      <c r="C10" s="21" t="s">
        <v>16</v>
      </c>
      <c r="D10" s="2">
        <v>1</v>
      </c>
      <c r="E10" s="2" t="s">
        <v>335</v>
      </c>
      <c r="F10" s="2">
        <v>1</v>
      </c>
      <c r="G10" s="2" t="s">
        <v>94</v>
      </c>
      <c r="H10" s="2">
        <v>1</v>
      </c>
      <c r="I10" s="2">
        <v>5</v>
      </c>
      <c r="J10" s="74" t="s">
        <v>259</v>
      </c>
      <c r="K10" s="18">
        <v>202412</v>
      </c>
      <c r="L10" s="18">
        <v>20241201</v>
      </c>
      <c r="M10" s="18">
        <v>20240904</v>
      </c>
      <c r="N10" s="2" t="s">
        <v>260</v>
      </c>
      <c r="O10" s="2" t="s">
        <v>271</v>
      </c>
      <c r="P10" s="2">
        <v>7.6</v>
      </c>
      <c r="Q10" s="2">
        <v>7.1</v>
      </c>
      <c r="R10" s="2">
        <v>95.4</v>
      </c>
      <c r="S10" s="57">
        <f t="shared" si="0"/>
        <v>4.5999999999999943</v>
      </c>
      <c r="T10" s="18">
        <v>266</v>
      </c>
      <c r="U10" s="2">
        <v>5</v>
      </c>
      <c r="V10" s="2" t="s">
        <v>261</v>
      </c>
      <c r="W10" s="2" t="s">
        <v>262</v>
      </c>
      <c r="X10" s="2" t="s">
        <v>94</v>
      </c>
      <c r="Y10" s="2" t="s">
        <v>263</v>
      </c>
      <c r="Z10" s="34" t="s">
        <v>264</v>
      </c>
    </row>
    <row r="11" spans="1:26" s="93" customFormat="1" x14ac:dyDescent="0.45">
      <c r="A11" s="104">
        <v>10</v>
      </c>
      <c r="B11" s="104"/>
      <c r="C11" s="104" t="s">
        <v>16</v>
      </c>
      <c r="D11" s="105"/>
      <c r="E11" s="105" t="s">
        <v>245</v>
      </c>
      <c r="F11" s="105"/>
      <c r="G11" s="105" t="s">
        <v>94</v>
      </c>
      <c r="H11" s="105">
        <v>1</v>
      </c>
      <c r="I11" s="105">
        <v>5</v>
      </c>
      <c r="J11" s="114" t="s">
        <v>242</v>
      </c>
      <c r="K11" s="107">
        <v>202408</v>
      </c>
      <c r="L11" s="107">
        <v>20240801</v>
      </c>
      <c r="M11" s="107">
        <v>20240524</v>
      </c>
      <c r="N11" s="105" t="s">
        <v>282</v>
      </c>
      <c r="O11" s="105" t="s">
        <v>283</v>
      </c>
      <c r="P11" s="105">
        <v>2</v>
      </c>
      <c r="Q11" s="105">
        <v>2.2000000000000002</v>
      </c>
      <c r="R11" s="105">
        <v>46.2</v>
      </c>
      <c r="S11" s="107">
        <f t="shared" si="0"/>
        <v>53.8</v>
      </c>
      <c r="T11" s="107" t="s">
        <v>252</v>
      </c>
      <c r="U11" s="105">
        <v>5</v>
      </c>
      <c r="V11" s="105" t="s">
        <v>243</v>
      </c>
      <c r="W11" s="105" t="s">
        <v>244</v>
      </c>
      <c r="X11" s="105" t="s">
        <v>94</v>
      </c>
      <c r="Y11" s="105" t="s">
        <v>253</v>
      </c>
      <c r="Z11" s="116" t="s">
        <v>251</v>
      </c>
    </row>
    <row r="12" spans="1:26" s="93" customFormat="1" x14ac:dyDescent="0.45">
      <c r="A12" s="21">
        <v>11</v>
      </c>
      <c r="B12" s="104"/>
      <c r="C12" s="104" t="s">
        <v>16</v>
      </c>
      <c r="D12" s="105"/>
      <c r="E12" s="105" t="s">
        <v>240</v>
      </c>
      <c r="F12" s="105"/>
      <c r="G12" s="105" t="s">
        <v>285</v>
      </c>
      <c r="H12" s="105">
        <v>1</v>
      </c>
      <c r="I12" s="105">
        <v>5</v>
      </c>
      <c r="J12" s="114" t="s">
        <v>255</v>
      </c>
      <c r="K12" s="107">
        <v>202406</v>
      </c>
      <c r="L12" s="107">
        <v>202405</v>
      </c>
      <c r="M12" s="107">
        <v>20240525</v>
      </c>
      <c r="N12" s="105" t="s">
        <v>236</v>
      </c>
      <c r="O12" s="105" t="s">
        <v>273</v>
      </c>
      <c r="P12" s="105">
        <v>3.1</v>
      </c>
      <c r="Q12" s="105">
        <v>3.8</v>
      </c>
      <c r="R12" s="107">
        <v>67.900000000000006</v>
      </c>
      <c r="S12" s="107">
        <f t="shared" si="0"/>
        <v>32.099999999999994</v>
      </c>
      <c r="T12" s="107" t="s">
        <v>339</v>
      </c>
      <c r="U12" s="105">
        <v>5</v>
      </c>
      <c r="V12" s="105" t="s">
        <v>218</v>
      </c>
      <c r="W12" s="105" t="s">
        <v>247</v>
      </c>
      <c r="X12" s="105" t="s">
        <v>249</v>
      </c>
      <c r="Y12" s="105" t="s">
        <v>248</v>
      </c>
      <c r="Z12" s="116" t="s">
        <v>250</v>
      </c>
    </row>
    <row r="13" spans="1:26" s="93" customFormat="1" x14ac:dyDescent="0.45">
      <c r="A13" s="21">
        <v>12</v>
      </c>
      <c r="B13" s="104"/>
      <c r="C13" s="104" t="s">
        <v>16</v>
      </c>
      <c r="D13" s="108" t="s">
        <v>352</v>
      </c>
      <c r="E13" s="109" t="s">
        <v>240</v>
      </c>
      <c r="F13" s="109"/>
      <c r="G13" s="109" t="s">
        <v>191</v>
      </c>
      <c r="H13" s="109">
        <v>1</v>
      </c>
      <c r="I13" s="109">
        <v>5</v>
      </c>
      <c r="J13" s="115" t="s">
        <v>246</v>
      </c>
      <c r="K13" s="110">
        <v>202403</v>
      </c>
      <c r="L13" s="110">
        <v>202403</v>
      </c>
      <c r="M13" s="111">
        <v>20240305</v>
      </c>
      <c r="N13" s="109" t="s">
        <v>236</v>
      </c>
      <c r="O13" s="109" t="s">
        <v>273</v>
      </c>
      <c r="P13" s="105">
        <v>3.1</v>
      </c>
      <c r="Q13" s="109">
        <v>3.8</v>
      </c>
      <c r="R13" s="107">
        <v>67.900000000000006</v>
      </c>
      <c r="S13" s="110">
        <f t="shared" si="0"/>
        <v>32.099999999999994</v>
      </c>
      <c r="T13" s="110" t="s">
        <v>241</v>
      </c>
      <c r="U13" s="109">
        <v>5</v>
      </c>
      <c r="V13" s="109" t="s">
        <v>101</v>
      </c>
      <c r="W13" s="109" t="s">
        <v>237</v>
      </c>
      <c r="X13" s="109" t="s">
        <v>191</v>
      </c>
      <c r="Y13" s="112" t="s">
        <v>239</v>
      </c>
      <c r="Z13" s="113" t="s">
        <v>297</v>
      </c>
    </row>
    <row r="14" spans="1:26" x14ac:dyDescent="0.45">
      <c r="A14" s="104">
        <v>13</v>
      </c>
      <c r="B14" s="21" t="s">
        <v>376</v>
      </c>
      <c r="C14" s="21" t="s">
        <v>16</v>
      </c>
      <c r="D14" s="2"/>
      <c r="E14" s="36" t="s">
        <v>214</v>
      </c>
      <c r="F14" s="36">
        <v>6</v>
      </c>
      <c r="G14" s="2" t="s">
        <v>94</v>
      </c>
      <c r="H14" s="2">
        <v>1</v>
      </c>
      <c r="I14" s="2">
        <v>4</v>
      </c>
      <c r="J14" s="74" t="s">
        <v>336</v>
      </c>
      <c r="K14" s="18">
        <v>202301</v>
      </c>
      <c r="L14" s="18">
        <v>202301</v>
      </c>
      <c r="M14" s="62">
        <v>20220925</v>
      </c>
      <c r="N14" s="36" t="s">
        <v>277</v>
      </c>
      <c r="O14" s="36" t="s">
        <v>272</v>
      </c>
      <c r="P14" s="36">
        <v>7</v>
      </c>
      <c r="Q14" s="36">
        <v>6.415</v>
      </c>
      <c r="R14" s="19">
        <v>93.2</v>
      </c>
      <c r="S14" s="57">
        <f t="shared" si="0"/>
        <v>6.7999999999999972</v>
      </c>
      <c r="T14" s="18" t="s">
        <v>223</v>
      </c>
      <c r="U14" s="2">
        <v>4</v>
      </c>
      <c r="V14" s="2" t="s">
        <v>218</v>
      </c>
      <c r="W14" s="2" t="s">
        <v>219</v>
      </c>
      <c r="X14" s="2" t="s">
        <v>94</v>
      </c>
      <c r="Y14" s="1" t="s">
        <v>220</v>
      </c>
      <c r="Z14" s="51" t="s">
        <v>224</v>
      </c>
    </row>
    <row r="15" spans="1:26" x14ac:dyDescent="0.45">
      <c r="A15" s="21">
        <v>14</v>
      </c>
      <c r="B15" s="21"/>
      <c r="C15" s="21" t="s">
        <v>16</v>
      </c>
      <c r="D15" s="103" t="s">
        <v>312</v>
      </c>
      <c r="E15" s="45" t="s">
        <v>231</v>
      </c>
      <c r="F15" s="45">
        <v>8</v>
      </c>
      <c r="G15" s="28" t="s">
        <v>285</v>
      </c>
      <c r="H15" s="28">
        <v>1</v>
      </c>
      <c r="I15" s="28">
        <v>5</v>
      </c>
      <c r="J15" s="85" t="s">
        <v>337</v>
      </c>
      <c r="K15" s="80">
        <v>202211</v>
      </c>
      <c r="L15" s="80">
        <v>202211</v>
      </c>
      <c r="M15" s="80">
        <v>20221110</v>
      </c>
      <c r="N15" s="45" t="s">
        <v>225</v>
      </c>
      <c r="O15" s="45" t="s">
        <v>273</v>
      </c>
      <c r="P15" s="45">
        <v>2.5</v>
      </c>
      <c r="Q15" s="45">
        <v>2.8380000000000001</v>
      </c>
      <c r="R15" s="42">
        <v>71.7</v>
      </c>
      <c r="S15" s="42">
        <f t="shared" si="0"/>
        <v>28.299999999999997</v>
      </c>
      <c r="T15" s="80" t="s">
        <v>230</v>
      </c>
      <c r="U15" s="28">
        <v>5</v>
      </c>
      <c r="V15" s="28" t="s">
        <v>226</v>
      </c>
      <c r="W15" s="28" t="s">
        <v>227</v>
      </c>
      <c r="X15" s="28" t="s">
        <v>249</v>
      </c>
      <c r="Y15" s="68" t="s">
        <v>228</v>
      </c>
      <c r="Z15" s="69" t="s">
        <v>229</v>
      </c>
    </row>
    <row r="16" spans="1:26" x14ac:dyDescent="0.45">
      <c r="A16" s="21">
        <v>15</v>
      </c>
      <c r="B16" s="21" t="s">
        <v>376</v>
      </c>
      <c r="C16" s="21" t="s">
        <v>16</v>
      </c>
      <c r="D16" s="36"/>
      <c r="E16" s="2" t="s">
        <v>41</v>
      </c>
      <c r="F16" s="2"/>
      <c r="G16" s="53" t="s">
        <v>40</v>
      </c>
      <c r="H16" s="53">
        <v>1</v>
      </c>
      <c r="I16" s="2">
        <v>4</v>
      </c>
      <c r="J16" s="73" t="s">
        <v>235</v>
      </c>
      <c r="K16" s="18">
        <v>202111</v>
      </c>
      <c r="L16" s="18">
        <v>202111</v>
      </c>
      <c r="M16" s="62">
        <v>20210504</v>
      </c>
      <c r="N16" s="2" t="s">
        <v>278</v>
      </c>
      <c r="O16" s="2" t="s">
        <v>271</v>
      </c>
      <c r="P16" s="28">
        <v>7.4</v>
      </c>
      <c r="Q16" s="2">
        <v>5.3179999999999996</v>
      </c>
      <c r="R16" s="80">
        <v>94.8</v>
      </c>
      <c r="S16" s="57">
        <f t="shared" si="0"/>
        <v>5.2000000000000028</v>
      </c>
      <c r="T16" s="18">
        <v>43</v>
      </c>
      <c r="U16" s="2">
        <v>4</v>
      </c>
      <c r="V16" s="2" t="s">
        <v>121</v>
      </c>
      <c r="W16" s="2" t="s">
        <v>167</v>
      </c>
      <c r="X16" s="53" t="s">
        <v>40</v>
      </c>
      <c r="Y16" s="1" t="s">
        <v>168</v>
      </c>
      <c r="Z16" s="66" t="s">
        <v>169</v>
      </c>
    </row>
    <row r="17" spans="1:26" x14ac:dyDescent="0.45">
      <c r="A17" s="104">
        <v>16</v>
      </c>
      <c r="B17" s="76"/>
      <c r="C17" s="21" t="s">
        <v>16</v>
      </c>
      <c r="D17" s="102" t="s">
        <v>353</v>
      </c>
      <c r="E17" s="36" t="s">
        <v>211</v>
      </c>
      <c r="F17" s="36"/>
      <c r="G17" s="48" t="s">
        <v>14</v>
      </c>
      <c r="H17" s="48">
        <v>1</v>
      </c>
      <c r="I17" s="36">
        <v>6</v>
      </c>
      <c r="J17" s="35" t="s">
        <v>160</v>
      </c>
      <c r="K17" s="19">
        <v>202105</v>
      </c>
      <c r="L17" s="19">
        <v>202007</v>
      </c>
      <c r="M17" s="19">
        <v>202006</v>
      </c>
      <c r="N17" s="36" t="s">
        <v>102</v>
      </c>
      <c r="O17" s="36" t="s">
        <v>275</v>
      </c>
      <c r="P17" s="36">
        <v>1.6</v>
      </c>
      <c r="Q17" s="36">
        <v>0.69199999999999995</v>
      </c>
      <c r="R17" s="19">
        <v>43.7</v>
      </c>
      <c r="S17" s="19">
        <f t="shared" si="0"/>
        <v>56.3</v>
      </c>
      <c r="T17" s="18" t="s">
        <v>179</v>
      </c>
      <c r="U17" s="36">
        <v>6</v>
      </c>
      <c r="V17" s="36" t="s">
        <v>145</v>
      </c>
      <c r="W17" s="36" t="s">
        <v>79</v>
      </c>
      <c r="X17" s="48" t="s">
        <v>14</v>
      </c>
      <c r="Y17" s="35" t="s">
        <v>78</v>
      </c>
      <c r="Z17" s="46" t="s">
        <v>156</v>
      </c>
    </row>
    <row r="18" spans="1:26" x14ac:dyDescent="0.45">
      <c r="A18" s="21">
        <v>17</v>
      </c>
      <c r="B18" s="76" t="s">
        <v>376</v>
      </c>
      <c r="C18" s="21" t="s">
        <v>16</v>
      </c>
      <c r="D18" s="36"/>
      <c r="E18" s="36" t="s">
        <v>216</v>
      </c>
      <c r="F18" s="36"/>
      <c r="G18" s="36" t="s">
        <v>39</v>
      </c>
      <c r="H18" s="36">
        <v>1</v>
      </c>
      <c r="I18" s="36">
        <v>8</v>
      </c>
      <c r="J18" s="73" t="s">
        <v>215</v>
      </c>
      <c r="K18" s="19">
        <v>202011</v>
      </c>
      <c r="L18" s="19">
        <v>202011</v>
      </c>
      <c r="M18" s="19">
        <v>20200626</v>
      </c>
      <c r="N18" s="36" t="s">
        <v>139</v>
      </c>
      <c r="O18" s="2" t="s">
        <v>271</v>
      </c>
      <c r="P18" s="36">
        <v>11.5</v>
      </c>
      <c r="Q18" s="36">
        <v>7.7</v>
      </c>
      <c r="R18" s="19">
        <v>99.7</v>
      </c>
      <c r="S18" s="57">
        <f t="shared" si="0"/>
        <v>0.29999999999999716</v>
      </c>
      <c r="T18" s="18">
        <v>119</v>
      </c>
      <c r="U18" s="36">
        <v>8</v>
      </c>
      <c r="V18" s="36" t="s">
        <v>144</v>
      </c>
      <c r="W18" s="36" t="s">
        <v>140</v>
      </c>
      <c r="X18" s="36" t="s">
        <v>39</v>
      </c>
      <c r="Y18" s="36" t="s">
        <v>141</v>
      </c>
      <c r="Z18" s="46" t="s">
        <v>142</v>
      </c>
    </row>
    <row r="19" spans="1:26" x14ac:dyDescent="0.45">
      <c r="A19" s="21">
        <v>18</v>
      </c>
      <c r="B19" s="21" t="s">
        <v>376</v>
      </c>
      <c r="C19" s="21" t="s">
        <v>16</v>
      </c>
      <c r="D19" s="36"/>
      <c r="E19" s="2" t="s">
        <v>41</v>
      </c>
      <c r="F19" s="2"/>
      <c r="G19" s="53" t="s">
        <v>94</v>
      </c>
      <c r="H19" s="53">
        <v>1</v>
      </c>
      <c r="I19" s="2">
        <v>5</v>
      </c>
      <c r="J19" s="48" t="s">
        <v>132</v>
      </c>
      <c r="K19" s="18">
        <v>202011</v>
      </c>
      <c r="L19" s="18">
        <v>202006</v>
      </c>
      <c r="M19" s="62">
        <v>20200522</v>
      </c>
      <c r="N19" s="2" t="s">
        <v>276</v>
      </c>
      <c r="O19" s="2" t="s">
        <v>271</v>
      </c>
      <c r="P19" s="28">
        <v>7.4</v>
      </c>
      <c r="Q19" s="2">
        <v>5.3179999999999996</v>
      </c>
      <c r="R19" s="80">
        <v>94.8</v>
      </c>
      <c r="S19" s="19">
        <f t="shared" si="0"/>
        <v>5.2000000000000028</v>
      </c>
      <c r="T19" s="18">
        <v>32</v>
      </c>
      <c r="U19" s="2">
        <v>5</v>
      </c>
      <c r="V19" s="2" t="s">
        <v>146</v>
      </c>
      <c r="W19" s="2" t="s">
        <v>133</v>
      </c>
      <c r="X19" s="53" t="s">
        <v>134</v>
      </c>
      <c r="Y19" s="2" t="s">
        <v>135</v>
      </c>
      <c r="Z19" s="2" t="s">
        <v>136</v>
      </c>
    </row>
    <row r="20" spans="1:26" s="37" customFormat="1" x14ac:dyDescent="0.45">
      <c r="A20" s="104">
        <v>19</v>
      </c>
      <c r="B20" s="76" t="s">
        <v>376</v>
      </c>
      <c r="C20" s="21" t="s">
        <v>16</v>
      </c>
      <c r="D20" s="2"/>
      <c r="E20" s="2" t="s">
        <v>41</v>
      </c>
      <c r="F20" s="2"/>
      <c r="G20" s="53" t="s">
        <v>40</v>
      </c>
      <c r="H20" s="53">
        <v>1</v>
      </c>
      <c r="I20" s="2">
        <v>5</v>
      </c>
      <c r="J20" s="73" t="s">
        <v>86</v>
      </c>
      <c r="K20" s="18">
        <v>202003</v>
      </c>
      <c r="L20" s="18">
        <v>202003</v>
      </c>
      <c r="M20" s="62">
        <v>20191023</v>
      </c>
      <c r="N20" s="2" t="s">
        <v>276</v>
      </c>
      <c r="O20" s="2" t="s">
        <v>271</v>
      </c>
      <c r="P20" s="28">
        <v>7.4</v>
      </c>
      <c r="Q20" s="2">
        <v>5.3179999999999996</v>
      </c>
      <c r="R20" s="80">
        <v>94.8</v>
      </c>
      <c r="S20" s="19">
        <f t="shared" si="0"/>
        <v>5.2000000000000028</v>
      </c>
      <c r="T20" s="18">
        <v>28</v>
      </c>
      <c r="U20" s="2">
        <v>5</v>
      </c>
      <c r="V20" s="2" t="s">
        <v>148</v>
      </c>
      <c r="W20" s="2" t="s">
        <v>80</v>
      </c>
      <c r="X20" s="53" t="s">
        <v>40</v>
      </c>
      <c r="Y20" s="1" t="s">
        <v>88</v>
      </c>
      <c r="Z20" s="2" t="s">
        <v>87</v>
      </c>
    </row>
    <row r="21" spans="1:26" s="44" customFormat="1" x14ac:dyDescent="0.45">
      <c r="A21" s="21">
        <v>20</v>
      </c>
      <c r="B21" s="76"/>
      <c r="C21" s="21" t="s">
        <v>16</v>
      </c>
      <c r="D21" s="45"/>
      <c r="E21" s="45" t="s">
        <v>210</v>
      </c>
      <c r="F21" s="45"/>
      <c r="G21" s="64" t="s">
        <v>94</v>
      </c>
      <c r="H21" s="64">
        <v>1</v>
      </c>
      <c r="I21" s="45">
        <v>3</v>
      </c>
      <c r="J21" s="86" t="s">
        <v>97</v>
      </c>
      <c r="K21" s="42">
        <v>201912</v>
      </c>
      <c r="L21" s="42">
        <v>201912</v>
      </c>
      <c r="M21" s="87">
        <v>201912</v>
      </c>
      <c r="N21" s="45" t="s">
        <v>81</v>
      </c>
      <c r="O21" s="45" t="s">
        <v>273</v>
      </c>
      <c r="P21" s="45">
        <v>3.3</v>
      </c>
      <c r="Q21" s="45">
        <v>2.5760000000000001</v>
      </c>
      <c r="R21" s="42">
        <v>58.4</v>
      </c>
      <c r="S21" s="42">
        <f t="shared" si="0"/>
        <v>41.6</v>
      </c>
      <c r="T21" s="80" t="s">
        <v>177</v>
      </c>
      <c r="U21" s="45">
        <v>3</v>
      </c>
      <c r="V21" s="45" t="s">
        <v>147</v>
      </c>
      <c r="W21" s="45" t="s">
        <v>98</v>
      </c>
      <c r="X21" s="65" t="s">
        <v>94</v>
      </c>
      <c r="Y21" s="88" t="s">
        <v>96</v>
      </c>
      <c r="Z21" s="45" t="s">
        <v>95</v>
      </c>
    </row>
    <row r="22" spans="1:26" s="37" customFormat="1" x14ac:dyDescent="0.45">
      <c r="A22" s="21">
        <v>21</v>
      </c>
      <c r="B22" s="21" t="s">
        <v>376</v>
      </c>
      <c r="C22" s="21" t="s">
        <v>16</v>
      </c>
      <c r="D22" s="36"/>
      <c r="E22" s="36" t="s">
        <v>214</v>
      </c>
      <c r="F22" s="36"/>
      <c r="G22" s="36" t="s">
        <v>39</v>
      </c>
      <c r="H22" s="36">
        <v>1</v>
      </c>
      <c r="I22" s="36">
        <v>5</v>
      </c>
      <c r="J22" s="35" t="s">
        <v>70</v>
      </c>
      <c r="K22" s="19">
        <v>201909</v>
      </c>
      <c r="L22" s="19">
        <v>201909</v>
      </c>
      <c r="M22" s="19">
        <v>20190621</v>
      </c>
      <c r="N22" s="36" t="s">
        <v>277</v>
      </c>
      <c r="O22" s="36" t="s">
        <v>272</v>
      </c>
      <c r="P22" s="36">
        <v>7</v>
      </c>
      <c r="Q22" s="36">
        <v>6.415</v>
      </c>
      <c r="R22" s="19">
        <v>93.2</v>
      </c>
      <c r="S22" s="19">
        <f t="shared" si="0"/>
        <v>6.7999999999999972</v>
      </c>
      <c r="T22" s="18" t="s">
        <v>183</v>
      </c>
      <c r="U22" s="36">
        <v>5</v>
      </c>
      <c r="V22" s="36" t="s">
        <v>149</v>
      </c>
      <c r="W22" s="36" t="s">
        <v>71</v>
      </c>
      <c r="X22" s="89" t="s">
        <v>39</v>
      </c>
      <c r="Y22" s="35" t="s">
        <v>18</v>
      </c>
      <c r="Z22" s="36" t="s">
        <v>47</v>
      </c>
    </row>
    <row r="23" spans="1:26" s="37" customFormat="1" x14ac:dyDescent="0.45">
      <c r="A23" s="104">
        <v>22</v>
      </c>
      <c r="B23" s="76"/>
      <c r="C23" s="21" t="s">
        <v>16</v>
      </c>
      <c r="D23" s="2"/>
      <c r="E23" s="2" t="s">
        <v>43</v>
      </c>
      <c r="F23" s="2"/>
      <c r="G23" s="53" t="s">
        <v>40</v>
      </c>
      <c r="H23" s="53">
        <v>1</v>
      </c>
      <c r="I23" s="2">
        <v>5</v>
      </c>
      <c r="J23" s="1" t="s">
        <v>31</v>
      </c>
      <c r="K23" s="18">
        <v>201908</v>
      </c>
      <c r="L23" s="18">
        <v>201908</v>
      </c>
      <c r="M23" s="18">
        <v>20190614</v>
      </c>
      <c r="N23" s="2" t="s">
        <v>279</v>
      </c>
      <c r="O23" s="36" t="s">
        <v>272</v>
      </c>
      <c r="P23" s="2">
        <v>5.0999999999999996</v>
      </c>
      <c r="Q23" s="2">
        <v>2.347</v>
      </c>
      <c r="R23" s="18">
        <v>86.6</v>
      </c>
      <c r="S23" s="19">
        <f t="shared" si="0"/>
        <v>13.400000000000006</v>
      </c>
      <c r="T23" s="18" t="s">
        <v>176</v>
      </c>
      <c r="U23" s="2">
        <v>5</v>
      </c>
      <c r="V23" s="2" t="s">
        <v>148</v>
      </c>
      <c r="W23" s="1" t="s">
        <v>62</v>
      </c>
      <c r="X23" s="59" t="s">
        <v>40</v>
      </c>
      <c r="Y23" s="1" t="s">
        <v>24</v>
      </c>
      <c r="Z23" s="2" t="s">
        <v>15</v>
      </c>
    </row>
    <row r="24" spans="1:26" s="37" customFormat="1" x14ac:dyDescent="0.45">
      <c r="A24" s="21">
        <v>23</v>
      </c>
      <c r="B24" s="76"/>
      <c r="C24" s="90" t="s">
        <v>16</v>
      </c>
      <c r="D24" s="45"/>
      <c r="E24" s="40" t="s">
        <v>210</v>
      </c>
      <c r="F24" s="40"/>
      <c r="G24" s="56" t="s">
        <v>40</v>
      </c>
      <c r="H24" s="56">
        <v>1</v>
      </c>
      <c r="I24" s="40">
        <v>6</v>
      </c>
      <c r="J24" s="1" t="s">
        <v>10</v>
      </c>
      <c r="K24" s="41">
        <v>201906</v>
      </c>
      <c r="L24" s="41">
        <v>201906</v>
      </c>
      <c r="M24" s="91">
        <v>20190531</v>
      </c>
      <c r="N24" s="40" t="s">
        <v>81</v>
      </c>
      <c r="O24" s="36" t="s">
        <v>273</v>
      </c>
      <c r="P24" s="45">
        <v>3.3</v>
      </c>
      <c r="Q24" s="36">
        <v>2.5760000000000001</v>
      </c>
      <c r="R24" s="42">
        <v>58.4</v>
      </c>
      <c r="S24" s="19">
        <f t="shared" si="0"/>
        <v>41.6</v>
      </c>
      <c r="T24" s="58" t="s">
        <v>178</v>
      </c>
      <c r="U24" s="40">
        <v>6</v>
      </c>
      <c r="V24" s="40" t="s">
        <v>148</v>
      </c>
      <c r="W24" s="1" t="s">
        <v>61</v>
      </c>
      <c r="X24" s="60" t="s">
        <v>40</v>
      </c>
      <c r="Y24" s="1" t="s">
        <v>19</v>
      </c>
      <c r="Z24" s="40" t="s">
        <v>48</v>
      </c>
    </row>
    <row r="25" spans="1:26" s="37" customFormat="1" x14ac:dyDescent="0.45">
      <c r="A25" s="21">
        <v>24</v>
      </c>
      <c r="B25" s="21"/>
      <c r="C25" s="21" t="s">
        <v>16</v>
      </c>
      <c r="D25" s="2"/>
      <c r="E25" s="36" t="s">
        <v>217</v>
      </c>
      <c r="F25" s="36"/>
      <c r="G25" s="36" t="s">
        <v>39</v>
      </c>
      <c r="H25" s="36">
        <v>1</v>
      </c>
      <c r="I25" s="36">
        <v>5</v>
      </c>
      <c r="J25" s="35" t="s">
        <v>32</v>
      </c>
      <c r="K25" s="19">
        <v>201905</v>
      </c>
      <c r="L25" s="19">
        <v>201905</v>
      </c>
      <c r="M25" s="92">
        <v>20190523</v>
      </c>
      <c r="N25" s="36" t="s">
        <v>82</v>
      </c>
      <c r="O25" s="36" t="s">
        <v>284</v>
      </c>
      <c r="P25" s="36">
        <v>1.6</v>
      </c>
      <c r="Q25" s="36">
        <v>1.1759999999999999</v>
      </c>
      <c r="R25" s="19">
        <v>43.7</v>
      </c>
      <c r="S25" s="19">
        <f t="shared" si="0"/>
        <v>56.3</v>
      </c>
      <c r="T25" s="19">
        <v>2019</v>
      </c>
      <c r="U25" s="36">
        <v>5</v>
      </c>
      <c r="V25" s="36" t="s">
        <v>150</v>
      </c>
      <c r="W25" s="36" t="s">
        <v>73</v>
      </c>
      <c r="X25" s="89" t="s">
        <v>39</v>
      </c>
      <c r="Y25" s="35" t="s">
        <v>72</v>
      </c>
      <c r="Z25" s="36" t="s">
        <v>49</v>
      </c>
    </row>
    <row r="26" spans="1:26" s="37" customFormat="1" x14ac:dyDescent="0.45">
      <c r="A26" s="104">
        <v>25</v>
      </c>
      <c r="B26" s="21"/>
      <c r="C26" s="21" t="s">
        <v>16</v>
      </c>
      <c r="D26" s="40"/>
      <c r="E26" s="36" t="s">
        <v>210</v>
      </c>
      <c r="F26" s="36"/>
      <c r="G26" s="48" t="s">
        <v>14</v>
      </c>
      <c r="H26" s="48">
        <v>1</v>
      </c>
      <c r="I26" s="36">
        <v>5</v>
      </c>
      <c r="J26" s="35" t="s">
        <v>83</v>
      </c>
      <c r="K26" s="19">
        <v>201905</v>
      </c>
      <c r="L26" s="19">
        <v>201905</v>
      </c>
      <c r="M26" s="92">
        <v>20190504</v>
      </c>
      <c r="N26" s="36" t="s">
        <v>209</v>
      </c>
      <c r="O26" s="36" t="s">
        <v>273</v>
      </c>
      <c r="P26" s="45">
        <v>3.3</v>
      </c>
      <c r="Q26" s="36">
        <v>2.5760000000000001</v>
      </c>
      <c r="R26" s="42">
        <v>58.4</v>
      </c>
      <c r="S26" s="19">
        <f t="shared" si="0"/>
        <v>41.6</v>
      </c>
      <c r="T26" s="18" t="s">
        <v>180</v>
      </c>
      <c r="U26" s="36">
        <v>5</v>
      </c>
      <c r="V26" s="36" t="s">
        <v>149</v>
      </c>
      <c r="W26" s="35" t="s">
        <v>63</v>
      </c>
      <c r="X26" s="43" t="s">
        <v>14</v>
      </c>
      <c r="Y26" s="35" t="s">
        <v>20</v>
      </c>
      <c r="Z26" s="36" t="s">
        <v>50</v>
      </c>
    </row>
    <row r="27" spans="1:26" s="37" customFormat="1" x14ac:dyDescent="0.45">
      <c r="A27" s="21">
        <v>26</v>
      </c>
      <c r="B27" s="21"/>
      <c r="C27" s="21" t="s">
        <v>16</v>
      </c>
      <c r="D27" s="45"/>
      <c r="E27" s="36" t="s">
        <v>213</v>
      </c>
      <c r="F27" s="36"/>
      <c r="G27" s="48" t="s">
        <v>14</v>
      </c>
      <c r="H27" s="48">
        <v>1</v>
      </c>
      <c r="I27" s="36">
        <v>4</v>
      </c>
      <c r="J27" s="35" t="s">
        <v>11</v>
      </c>
      <c r="K27" s="18">
        <v>201905</v>
      </c>
      <c r="L27" s="19">
        <v>201905</v>
      </c>
      <c r="M27" s="19">
        <v>20190429</v>
      </c>
      <c r="N27" s="36" t="s">
        <v>212</v>
      </c>
      <c r="O27" s="36" t="s">
        <v>273</v>
      </c>
      <c r="P27" s="36">
        <v>3.2</v>
      </c>
      <c r="Q27" s="36">
        <v>2.702</v>
      </c>
      <c r="R27" s="42">
        <v>38.700000000000003</v>
      </c>
      <c r="S27" s="19">
        <f t="shared" si="0"/>
        <v>61.3</v>
      </c>
      <c r="T27" s="18" t="s">
        <v>181</v>
      </c>
      <c r="U27" s="36">
        <v>4</v>
      </c>
      <c r="V27" s="36" t="s">
        <v>146</v>
      </c>
      <c r="W27" s="35" t="s">
        <v>64</v>
      </c>
      <c r="X27" s="48" t="s">
        <v>14</v>
      </c>
      <c r="Y27" s="35" t="s">
        <v>21</v>
      </c>
      <c r="Z27" s="36" t="s">
        <v>51</v>
      </c>
    </row>
    <row r="28" spans="1:26" s="37" customFormat="1" x14ac:dyDescent="0.45">
      <c r="A28" s="21">
        <v>27</v>
      </c>
      <c r="B28" s="21"/>
      <c r="C28" s="21" t="s">
        <v>16</v>
      </c>
      <c r="D28" s="2"/>
      <c r="E28" s="2" t="s">
        <v>42</v>
      </c>
      <c r="F28" s="2"/>
      <c r="G28" s="2" t="s">
        <v>39</v>
      </c>
      <c r="H28" s="2">
        <v>1</v>
      </c>
      <c r="I28" s="2">
        <v>5</v>
      </c>
      <c r="J28" s="1" t="s">
        <v>74</v>
      </c>
      <c r="K28" s="18">
        <v>201904</v>
      </c>
      <c r="L28" s="19">
        <v>201904</v>
      </c>
      <c r="M28" s="18">
        <v>20190327</v>
      </c>
      <c r="N28" s="2" t="s">
        <v>37</v>
      </c>
      <c r="O28" s="36" t="s">
        <v>273</v>
      </c>
      <c r="P28" s="45">
        <v>3.3</v>
      </c>
      <c r="Q28" s="36">
        <v>2.5760000000000001</v>
      </c>
      <c r="R28" s="42">
        <v>58.4</v>
      </c>
      <c r="S28" s="19">
        <f t="shared" si="0"/>
        <v>41.6</v>
      </c>
      <c r="T28" s="18" t="s">
        <v>184</v>
      </c>
      <c r="U28" s="2">
        <v>5</v>
      </c>
      <c r="V28" s="2" t="s">
        <v>151</v>
      </c>
      <c r="W28" s="2" t="s">
        <v>75</v>
      </c>
      <c r="X28" s="2" t="s">
        <v>39</v>
      </c>
      <c r="Y28" s="1" t="s">
        <v>25</v>
      </c>
      <c r="Z28" s="2" t="s">
        <v>52</v>
      </c>
    </row>
    <row r="29" spans="1:26" s="93" customFormat="1" x14ac:dyDescent="0.45">
      <c r="A29" s="104">
        <v>28</v>
      </c>
      <c r="B29" s="21"/>
      <c r="C29" s="21" t="s">
        <v>16</v>
      </c>
      <c r="D29" s="36"/>
      <c r="E29" s="36" t="s">
        <v>210</v>
      </c>
      <c r="F29" s="36"/>
      <c r="G29" s="48" t="s">
        <v>40</v>
      </c>
      <c r="H29" s="48">
        <v>1</v>
      </c>
      <c r="I29" s="36">
        <v>5</v>
      </c>
      <c r="J29" s="35" t="s">
        <v>34</v>
      </c>
      <c r="K29" s="18">
        <v>201902</v>
      </c>
      <c r="L29" s="19">
        <v>201902</v>
      </c>
      <c r="M29" s="92">
        <v>20190207</v>
      </c>
      <c r="N29" s="36" t="s">
        <v>209</v>
      </c>
      <c r="O29" s="36" t="s">
        <v>273</v>
      </c>
      <c r="P29" s="45">
        <v>3.3</v>
      </c>
      <c r="Q29" s="36">
        <v>2.5760000000000001</v>
      </c>
      <c r="R29" s="42">
        <v>58.4</v>
      </c>
      <c r="S29" s="19">
        <f t="shared" si="0"/>
        <v>41.6</v>
      </c>
      <c r="T29" s="18" t="s">
        <v>182</v>
      </c>
      <c r="U29" s="36">
        <v>5</v>
      </c>
      <c r="V29" s="36" t="s">
        <v>148</v>
      </c>
      <c r="W29" s="35" t="s">
        <v>66</v>
      </c>
      <c r="X29" s="48" t="s">
        <v>40</v>
      </c>
      <c r="Y29" s="35" t="s">
        <v>22</v>
      </c>
      <c r="Z29" s="36" t="s">
        <v>53</v>
      </c>
    </row>
    <row r="30" spans="1:26" x14ac:dyDescent="0.45">
      <c r="A30" s="21">
        <v>29</v>
      </c>
      <c r="B30" s="21"/>
      <c r="C30" s="21" t="s">
        <v>16</v>
      </c>
      <c r="D30" s="45"/>
      <c r="E30" s="36" t="s">
        <v>43</v>
      </c>
      <c r="F30" s="36"/>
      <c r="G30" s="48" t="s">
        <v>40</v>
      </c>
      <c r="H30" s="48">
        <v>1</v>
      </c>
      <c r="I30" s="36">
        <v>5</v>
      </c>
      <c r="J30" s="35" t="s">
        <v>12</v>
      </c>
      <c r="K30" s="18">
        <v>201806</v>
      </c>
      <c r="L30" s="19">
        <v>201806</v>
      </c>
      <c r="M30" s="92">
        <v>20180327</v>
      </c>
      <c r="N30" s="36" t="s">
        <v>279</v>
      </c>
      <c r="O30" s="36" t="s">
        <v>272</v>
      </c>
      <c r="P30" s="2">
        <v>5.0999999999999996</v>
      </c>
      <c r="Q30" s="36">
        <v>2.734</v>
      </c>
      <c r="R30" s="18">
        <v>86.6</v>
      </c>
      <c r="S30" s="19">
        <f t="shared" si="0"/>
        <v>13.400000000000006</v>
      </c>
      <c r="T30" s="18" t="s">
        <v>175</v>
      </c>
      <c r="U30" s="36">
        <v>5</v>
      </c>
      <c r="V30" s="36" t="s">
        <v>148</v>
      </c>
      <c r="W30" s="35" t="s">
        <v>65</v>
      </c>
      <c r="X30" s="48" t="s">
        <v>40</v>
      </c>
      <c r="Y30" s="35" t="s">
        <v>26</v>
      </c>
      <c r="Z30" s="36" t="s">
        <v>54</v>
      </c>
    </row>
    <row r="31" spans="1:26" x14ac:dyDescent="0.45">
      <c r="A31" s="21">
        <v>30</v>
      </c>
      <c r="B31" s="21" t="s">
        <v>376</v>
      </c>
      <c r="C31" s="21" t="s">
        <v>16</v>
      </c>
      <c r="D31" s="2"/>
      <c r="E31" s="2" t="s">
        <v>44</v>
      </c>
      <c r="F31" s="2"/>
      <c r="G31" s="2" t="s">
        <v>39</v>
      </c>
      <c r="H31" s="2">
        <v>1</v>
      </c>
      <c r="I31" s="2">
        <v>6</v>
      </c>
      <c r="J31" s="1" t="s">
        <v>84</v>
      </c>
      <c r="K31" s="18">
        <v>201712</v>
      </c>
      <c r="L31" s="19">
        <v>201712</v>
      </c>
      <c r="M31" s="94">
        <v>20170922</v>
      </c>
      <c r="N31" s="2" t="s">
        <v>280</v>
      </c>
      <c r="O31" s="28" t="s">
        <v>271</v>
      </c>
      <c r="P31" s="2">
        <v>7.1</v>
      </c>
      <c r="Q31" s="2">
        <v>4.4569999999999999</v>
      </c>
      <c r="R31" s="18">
        <v>93.7</v>
      </c>
      <c r="S31" s="19">
        <f t="shared" si="0"/>
        <v>6.2999999999999972</v>
      </c>
      <c r="T31" s="18">
        <v>156</v>
      </c>
      <c r="U31" s="2">
        <v>6</v>
      </c>
      <c r="V31" s="2" t="s">
        <v>146</v>
      </c>
      <c r="W31" s="2" t="s">
        <v>76</v>
      </c>
      <c r="X31" s="2" t="s">
        <v>39</v>
      </c>
      <c r="Y31" s="1" t="s">
        <v>27</v>
      </c>
      <c r="Z31" s="2" t="s">
        <v>55</v>
      </c>
    </row>
    <row r="32" spans="1:26" x14ac:dyDescent="0.45">
      <c r="A32" s="104">
        <v>31</v>
      </c>
      <c r="B32" s="21"/>
      <c r="C32" s="21" t="s">
        <v>16</v>
      </c>
      <c r="D32" s="28"/>
      <c r="E32" s="79" t="s">
        <v>43</v>
      </c>
      <c r="F32" s="61"/>
      <c r="G32" s="55" t="s">
        <v>40</v>
      </c>
      <c r="H32" s="117">
        <v>1</v>
      </c>
      <c r="I32" s="79">
        <v>5</v>
      </c>
      <c r="J32" s="47" t="s">
        <v>13</v>
      </c>
      <c r="K32" s="18">
        <v>201706</v>
      </c>
      <c r="L32" s="84">
        <v>201706</v>
      </c>
      <c r="M32" s="95">
        <v>20170216</v>
      </c>
      <c r="N32" s="79" t="s">
        <v>281</v>
      </c>
      <c r="O32" s="36" t="s">
        <v>272</v>
      </c>
      <c r="P32" s="2">
        <v>5.0999999999999996</v>
      </c>
      <c r="Q32" s="79"/>
      <c r="R32" s="18">
        <v>86.6</v>
      </c>
      <c r="S32" s="42">
        <f t="shared" si="0"/>
        <v>13.400000000000006</v>
      </c>
      <c r="T32" s="83" t="s">
        <v>185</v>
      </c>
      <c r="U32" s="79">
        <v>5</v>
      </c>
      <c r="V32" s="79" t="s">
        <v>148</v>
      </c>
      <c r="W32" s="47" t="s">
        <v>67</v>
      </c>
      <c r="X32" s="50" t="s">
        <v>40</v>
      </c>
      <c r="Y32" s="47" t="s">
        <v>23</v>
      </c>
      <c r="Z32" s="79" t="s">
        <v>56</v>
      </c>
    </row>
    <row r="33" spans="1:26" x14ac:dyDescent="0.45">
      <c r="A33" s="21">
        <v>32</v>
      </c>
      <c r="B33" s="21"/>
      <c r="C33" s="21" t="s">
        <v>16</v>
      </c>
      <c r="D33" s="2"/>
      <c r="E33" s="2" t="s">
        <v>43</v>
      </c>
      <c r="F33" s="52"/>
      <c r="G33" s="49" t="s">
        <v>40</v>
      </c>
      <c r="H33" s="118">
        <v>1</v>
      </c>
      <c r="I33" s="2">
        <v>5</v>
      </c>
      <c r="J33" s="1" t="s">
        <v>35</v>
      </c>
      <c r="K33" s="18">
        <v>201607</v>
      </c>
      <c r="L33" s="18">
        <v>201607</v>
      </c>
      <c r="M33" s="96">
        <v>20160701</v>
      </c>
      <c r="N33" s="2" t="s">
        <v>281</v>
      </c>
      <c r="O33" s="36" t="s">
        <v>272</v>
      </c>
      <c r="P33" s="2">
        <v>5.0999999999999996</v>
      </c>
      <c r="Q33" s="2"/>
      <c r="R33" s="18">
        <v>86.6</v>
      </c>
      <c r="S33" s="42">
        <f t="shared" si="0"/>
        <v>13.400000000000006</v>
      </c>
      <c r="T33" s="18" t="s">
        <v>186</v>
      </c>
      <c r="U33" s="2">
        <v>5</v>
      </c>
      <c r="V33" s="2" t="s">
        <v>148</v>
      </c>
      <c r="W33" s="1" t="s">
        <v>68</v>
      </c>
      <c r="X33" s="49" t="s">
        <v>40</v>
      </c>
      <c r="Y33" s="1" t="s">
        <v>28</v>
      </c>
      <c r="Z33" s="2" t="s">
        <v>57</v>
      </c>
    </row>
    <row r="35" spans="1:26" x14ac:dyDescent="0.45">
      <c r="A35" s="120" t="s">
        <v>354</v>
      </c>
      <c r="B35" s="120"/>
      <c r="C35" s="120"/>
      <c r="E35" s="120" t="s">
        <v>355</v>
      </c>
      <c r="F35" s="120"/>
      <c r="G35" s="120"/>
      <c r="H35" s="119"/>
      <c r="N35" s="97"/>
      <c r="O35" s="97"/>
    </row>
    <row r="36" spans="1:26" x14ac:dyDescent="0.45">
      <c r="A36" s="2" t="s">
        <v>171</v>
      </c>
      <c r="B36" s="2"/>
      <c r="C36" s="2">
        <v>32</v>
      </c>
      <c r="E36" s="2" t="s">
        <v>171</v>
      </c>
      <c r="F36" s="2"/>
      <c r="G36" s="2">
        <v>12</v>
      </c>
      <c r="J36" s="98"/>
    </row>
    <row r="37" spans="1:26" x14ac:dyDescent="0.45">
      <c r="A37" s="2" t="s">
        <v>172</v>
      </c>
      <c r="B37" s="2"/>
      <c r="C37" s="2">
        <v>26</v>
      </c>
      <c r="E37" s="2" t="s">
        <v>172</v>
      </c>
      <c r="F37" s="2"/>
      <c r="G37" s="2">
        <v>11</v>
      </c>
      <c r="J37" s="98"/>
    </row>
    <row r="38" spans="1:26" x14ac:dyDescent="0.45">
      <c r="A38" s="2" t="s">
        <v>127</v>
      </c>
      <c r="B38" s="2"/>
      <c r="C38" s="2">
        <v>6</v>
      </c>
      <c r="E38" s="2" t="s">
        <v>127</v>
      </c>
      <c r="F38" s="2"/>
      <c r="G38" s="2">
        <v>1</v>
      </c>
      <c r="J38" s="98"/>
    </row>
    <row r="39" spans="1:26" x14ac:dyDescent="0.45">
      <c r="J39" s="98"/>
    </row>
    <row r="40" spans="1:26" x14ac:dyDescent="0.45">
      <c r="A40" s="121" t="s">
        <v>372</v>
      </c>
      <c r="B40" s="121"/>
      <c r="C40" s="121"/>
      <c r="J40" s="98"/>
    </row>
    <row r="41" spans="1:26" x14ac:dyDescent="0.45">
      <c r="A41" s="2" t="s">
        <v>357</v>
      </c>
      <c r="B41" s="2"/>
      <c r="C41" s="2" t="s">
        <v>358</v>
      </c>
      <c r="E41" s="120" t="s">
        <v>356</v>
      </c>
      <c r="F41" s="120"/>
      <c r="G41" s="120"/>
      <c r="H41" s="119"/>
      <c r="I41">
        <v>1</v>
      </c>
    </row>
    <row r="42" spans="1:26" x14ac:dyDescent="0.45">
      <c r="A42" s="2" t="s">
        <v>359</v>
      </c>
      <c r="B42" s="2"/>
      <c r="C42" s="2" t="s">
        <v>360</v>
      </c>
      <c r="E42" s="2" t="s">
        <v>171</v>
      </c>
      <c r="F42" s="2"/>
      <c r="G42" s="2">
        <v>14</v>
      </c>
      <c r="I42">
        <v>3</v>
      </c>
    </row>
    <row r="43" spans="1:26" x14ac:dyDescent="0.45">
      <c r="A43" s="2" t="s">
        <v>361</v>
      </c>
      <c r="B43" s="2"/>
      <c r="C43" s="2" t="s">
        <v>362</v>
      </c>
      <c r="E43" s="2" t="s">
        <v>172</v>
      </c>
      <c r="F43" s="2"/>
      <c r="G43" s="2">
        <v>13</v>
      </c>
      <c r="I43">
        <v>2</v>
      </c>
      <c r="W43" s="99"/>
    </row>
    <row r="44" spans="1:26" x14ac:dyDescent="0.45">
      <c r="A44" s="2" t="s">
        <v>363</v>
      </c>
      <c r="B44" s="2"/>
      <c r="C44" s="2" t="s">
        <v>358</v>
      </c>
      <c r="E44" s="2" t="s">
        <v>127</v>
      </c>
      <c r="F44" s="2"/>
      <c r="G44" s="2">
        <v>1</v>
      </c>
      <c r="I44">
        <v>1</v>
      </c>
    </row>
    <row r="45" spans="1:26" x14ac:dyDescent="0.45">
      <c r="A45" s="2" t="s">
        <v>364</v>
      </c>
      <c r="B45" s="2"/>
      <c r="C45" s="2" t="s">
        <v>362</v>
      </c>
      <c r="I45">
        <v>2</v>
      </c>
    </row>
    <row r="46" spans="1:26" x14ac:dyDescent="0.45">
      <c r="A46" s="2" t="s">
        <v>365</v>
      </c>
      <c r="B46" s="2"/>
      <c r="C46" s="2" t="s">
        <v>366</v>
      </c>
      <c r="E46" s="120" t="s">
        <v>370</v>
      </c>
      <c r="F46" s="120"/>
      <c r="G46" s="120"/>
      <c r="H46" s="119"/>
      <c r="I46">
        <v>1</v>
      </c>
    </row>
    <row r="47" spans="1:26" x14ac:dyDescent="0.45">
      <c r="A47" s="2" t="s">
        <v>367</v>
      </c>
      <c r="B47" s="2"/>
      <c r="C47" s="2" t="s">
        <v>360</v>
      </c>
      <c r="E47" s="2" t="s">
        <v>171</v>
      </c>
      <c r="F47" s="2"/>
      <c r="G47" s="2">
        <v>16</v>
      </c>
      <c r="I47">
        <v>3</v>
      </c>
    </row>
    <row r="48" spans="1:26" x14ac:dyDescent="0.45">
      <c r="A48" s="2" t="s">
        <v>368</v>
      </c>
      <c r="B48" s="2"/>
      <c r="C48" s="2" t="s">
        <v>366</v>
      </c>
      <c r="E48" s="2" t="s">
        <v>172</v>
      </c>
      <c r="F48" s="2"/>
      <c r="G48" s="2">
        <v>15</v>
      </c>
      <c r="I48">
        <v>1</v>
      </c>
    </row>
    <row r="49" spans="1:9" x14ac:dyDescent="0.45">
      <c r="A49" s="54" t="s">
        <v>369</v>
      </c>
      <c r="B49" s="54"/>
      <c r="C49" s="54" t="s">
        <v>371</v>
      </c>
      <c r="E49" s="2" t="s">
        <v>127</v>
      </c>
      <c r="F49" s="2"/>
      <c r="G49" s="2">
        <v>1</v>
      </c>
      <c r="I49">
        <f>SUM(I41:I48)</f>
        <v>14</v>
      </c>
    </row>
    <row r="52" spans="1:9" x14ac:dyDescent="0.45">
      <c r="G52" s="16"/>
      <c r="H52" s="16"/>
    </row>
  </sheetData>
  <autoFilter ref="A1:Z1" xr:uid="{00000000-0001-0000-0000-000000000000}">
    <sortState xmlns:xlrd2="http://schemas.microsoft.com/office/spreadsheetml/2017/richdata2" ref="A2:Z33">
      <sortCondition ref="A1"/>
    </sortState>
  </autoFilter>
  <mergeCells count="5">
    <mergeCell ref="A35:C35"/>
    <mergeCell ref="E35:G35"/>
    <mergeCell ref="E41:G41"/>
    <mergeCell ref="E46:G46"/>
    <mergeCell ref="A40:C40"/>
  </mergeCells>
  <phoneticPr fontId="1" type="noConversion"/>
  <hyperlinks>
    <hyperlink ref="Z18" r:id="rId1" xr:uid="{00000000-0004-0000-0000-000000000000}"/>
    <hyperlink ref="Z17" r:id="rId2" xr:uid="{00000000-0004-0000-0000-000001000000}"/>
    <hyperlink ref="Z16" r:id="rId3" xr:uid="{00000000-0004-0000-0000-000002000000}"/>
    <hyperlink ref="Z15" r:id="rId4" xr:uid="{00000000-0004-0000-0000-000004000000}"/>
    <hyperlink ref="Z14" r:id="rId5" xr:uid="{86DE03E4-D5B5-4402-A921-ABA0D9A52536}"/>
    <hyperlink ref="Z12" r:id="rId6" xr:uid="{B57913AC-716A-40DD-B4A0-02AF80D9DFED}"/>
    <hyperlink ref="Z11" r:id="rId7" xr:uid="{16752DB3-3843-494B-8BCC-1059D29A5B22}"/>
    <hyperlink ref="Z10" r:id="rId8" xr:uid="{97DD2732-C7B2-4408-9CD3-0BC709578BBF}"/>
    <hyperlink ref="Z7" r:id="rId9" xr:uid="{ADBB7291-2A01-4CE0-BAF2-C461D43951AA}"/>
    <hyperlink ref="Z8" r:id="rId10" xr:uid="{2BDB8328-9110-4E75-9782-1F5BD5CB4BC9}"/>
    <hyperlink ref="Z9" r:id="rId11" xr:uid="{80C84465-2241-4CCB-B83C-F1A6685114ED}"/>
    <hyperlink ref="Z6" r:id="rId12" xr:uid="{E086568B-7F4D-4672-9B17-849E248434A7}"/>
    <hyperlink ref="Z5" r:id="rId13" xr:uid="{D77A19F8-8363-4A50-942D-4D72DA905C91}"/>
    <hyperlink ref="Z13" r:id="rId14" xr:uid="{9453B22A-79CB-43BD-B070-CCC901953D00}"/>
    <hyperlink ref="Z3" r:id="rId15" xr:uid="{0EE0DCF8-B157-4DDE-854A-DA5C043B750A}"/>
  </hyperlinks>
  <pageMargins left="0.7" right="0.7" top="0.75" bottom="0.75" header="0.3" footer="0.3"/>
  <pageSetup paperSize="9" scale="13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zoomScaleNormal="100" workbookViewId="0">
      <pane xSplit="2" topLeftCell="R1" activePane="topRight" state="frozen"/>
      <selection pane="topRight" activeCell="S28" sqref="S28"/>
    </sheetView>
  </sheetViews>
  <sheetFormatPr defaultRowHeight="17" x14ac:dyDescent="0.45"/>
  <cols>
    <col min="2" max="2" width="13" bestFit="1" customWidth="1"/>
    <col min="3" max="3" width="134.9140625" bestFit="1" customWidth="1"/>
    <col min="4" max="5" width="10" style="16" bestFit="1" customWidth="1"/>
    <col min="6" max="6" width="10" style="16" customWidth="1"/>
    <col min="7" max="7" width="59.5" bestFit="1" customWidth="1"/>
    <col min="8" max="9" width="10.6640625" customWidth="1"/>
    <col min="10" max="12" width="11.5" customWidth="1"/>
    <col min="15" max="15" width="44.4140625" bestFit="1" customWidth="1"/>
    <col min="17" max="17" width="62.1640625" customWidth="1"/>
    <col min="18" max="18" width="10.6640625" bestFit="1" customWidth="1"/>
    <col min="19" max="19" width="107.58203125" customWidth="1"/>
    <col min="20" max="20" width="13" bestFit="1" customWidth="1"/>
  </cols>
  <sheetData>
    <row r="1" spans="1:20" s="6" customFormat="1" x14ac:dyDescent="0.45">
      <c r="A1" s="2" t="s">
        <v>157</v>
      </c>
      <c r="B1" s="4" t="s">
        <v>0</v>
      </c>
      <c r="C1" s="15" t="s">
        <v>1</v>
      </c>
      <c r="D1" s="15" t="s">
        <v>137</v>
      </c>
      <c r="E1" s="15" t="s">
        <v>138</v>
      </c>
      <c r="F1" s="15" t="s">
        <v>161</v>
      </c>
      <c r="G1" s="4" t="s">
        <v>2</v>
      </c>
      <c r="H1" s="4" t="s">
        <v>194</v>
      </c>
      <c r="I1" s="4" t="s">
        <v>195</v>
      </c>
      <c r="J1" s="4" t="s">
        <v>196</v>
      </c>
      <c r="K1" s="4" t="s">
        <v>193</v>
      </c>
      <c r="L1" s="4" t="s">
        <v>303</v>
      </c>
      <c r="M1" s="4" t="s">
        <v>3</v>
      </c>
      <c r="N1" s="4" t="s">
        <v>131</v>
      </c>
      <c r="O1" s="4" t="s">
        <v>4</v>
      </c>
      <c r="P1" s="4" t="s">
        <v>5</v>
      </c>
      <c r="Q1" s="4" t="s">
        <v>4</v>
      </c>
      <c r="R1" s="4" t="s">
        <v>6</v>
      </c>
      <c r="S1" s="4" t="s">
        <v>7</v>
      </c>
      <c r="T1" s="4" t="s">
        <v>8</v>
      </c>
    </row>
    <row r="2" spans="1:20" s="6" customFormat="1" x14ac:dyDescent="0.45">
      <c r="A2" s="27">
        <v>1</v>
      </c>
      <c r="B2" s="23" t="s">
        <v>287</v>
      </c>
      <c r="C2" s="22" t="s">
        <v>288</v>
      </c>
      <c r="D2" s="26">
        <v>20250201</v>
      </c>
      <c r="E2" s="26">
        <v>20250201</v>
      </c>
      <c r="F2" s="26">
        <v>20250201</v>
      </c>
      <c r="G2" s="23" t="s">
        <v>286</v>
      </c>
      <c r="H2" s="23"/>
      <c r="I2" s="23"/>
      <c r="J2" s="23"/>
      <c r="K2" s="26" t="s">
        <v>302</v>
      </c>
      <c r="L2" s="26" t="s">
        <v>304</v>
      </c>
      <c r="M2" s="23">
        <v>3</v>
      </c>
      <c r="N2" s="23" t="s">
        <v>305</v>
      </c>
      <c r="O2" s="23" t="s">
        <v>306</v>
      </c>
      <c r="P2" s="23" t="s">
        <v>307</v>
      </c>
      <c r="Q2" s="23" t="s">
        <v>308</v>
      </c>
      <c r="R2" s="23" t="s">
        <v>309</v>
      </c>
      <c r="S2" s="70" t="s">
        <v>311</v>
      </c>
      <c r="T2" s="23"/>
    </row>
    <row r="3" spans="1:20" s="6" customFormat="1" x14ac:dyDescent="0.45">
      <c r="A3" s="21">
        <v>2</v>
      </c>
      <c r="B3" s="26" t="s">
        <v>17</v>
      </c>
      <c r="C3" s="22" t="s">
        <v>89</v>
      </c>
      <c r="D3" s="32">
        <v>201911</v>
      </c>
      <c r="E3" s="32">
        <v>20191101</v>
      </c>
      <c r="F3" s="32" t="s">
        <v>163</v>
      </c>
      <c r="G3" s="23" t="s">
        <v>90</v>
      </c>
      <c r="H3" s="24"/>
      <c r="I3" s="28"/>
      <c r="J3" s="28"/>
      <c r="K3" s="27" t="s">
        <v>203</v>
      </c>
      <c r="L3" s="27"/>
      <c r="M3" s="23">
        <v>4</v>
      </c>
      <c r="N3" s="23" t="s">
        <v>152</v>
      </c>
      <c r="O3" s="22" t="s">
        <v>99</v>
      </c>
      <c r="P3" s="23" t="s">
        <v>39</v>
      </c>
      <c r="Q3" s="23" t="s">
        <v>93</v>
      </c>
      <c r="R3" s="2" t="s">
        <v>91</v>
      </c>
      <c r="S3" t="s">
        <v>92</v>
      </c>
      <c r="T3" s="23"/>
    </row>
    <row r="4" spans="1:20" s="6" customFormat="1" x14ac:dyDescent="0.45">
      <c r="A4" s="21">
        <v>3</v>
      </c>
      <c r="B4" s="15" t="s">
        <v>17</v>
      </c>
      <c r="C4" s="5" t="s">
        <v>9</v>
      </c>
      <c r="D4" s="30">
        <v>201906</v>
      </c>
      <c r="E4" s="30">
        <v>20190601</v>
      </c>
      <c r="F4" s="30" t="s">
        <v>164</v>
      </c>
      <c r="G4" s="4" t="s">
        <v>85</v>
      </c>
      <c r="H4" s="20"/>
      <c r="I4" s="2"/>
      <c r="J4" s="2"/>
      <c r="K4" s="21" t="s">
        <v>204</v>
      </c>
      <c r="L4" s="21"/>
      <c r="M4" s="4">
        <v>4</v>
      </c>
      <c r="N4" s="4" t="s">
        <v>153</v>
      </c>
      <c r="O4" s="5" t="s">
        <v>100</v>
      </c>
      <c r="P4" s="4" t="s">
        <v>14</v>
      </c>
      <c r="Q4" s="1" t="s">
        <v>29</v>
      </c>
      <c r="R4" s="4" t="s">
        <v>45</v>
      </c>
      <c r="S4" s="4" t="s">
        <v>58</v>
      </c>
      <c r="T4" s="4"/>
    </row>
    <row r="5" spans="1:20" s="6" customFormat="1" x14ac:dyDescent="0.45">
      <c r="A5" s="27">
        <v>4</v>
      </c>
      <c r="B5" s="15" t="s">
        <v>17</v>
      </c>
      <c r="C5" s="5" t="s">
        <v>33</v>
      </c>
      <c r="D5" s="17">
        <v>201703</v>
      </c>
      <c r="E5" s="17">
        <v>20170301</v>
      </c>
      <c r="F5" s="17" t="s">
        <v>162</v>
      </c>
      <c r="G5" s="4" t="s">
        <v>38</v>
      </c>
      <c r="H5" s="20"/>
      <c r="I5" s="2"/>
      <c r="J5" s="2"/>
      <c r="K5" s="21" t="s">
        <v>205</v>
      </c>
      <c r="L5" s="21"/>
      <c r="M5" s="4">
        <v>4</v>
      </c>
      <c r="N5" s="4" t="s">
        <v>154</v>
      </c>
      <c r="O5" s="4" t="s">
        <v>77</v>
      </c>
      <c r="P5" s="4" t="s">
        <v>39</v>
      </c>
      <c r="Q5" s="1" t="s">
        <v>30</v>
      </c>
      <c r="R5" s="4" t="s">
        <v>46</v>
      </c>
      <c r="S5" s="4" t="s">
        <v>59</v>
      </c>
      <c r="T5" s="4"/>
    </row>
    <row r="6" spans="1:20" s="6" customFormat="1" x14ac:dyDescent="0.45">
      <c r="A6" s="21">
        <v>5</v>
      </c>
      <c r="B6" s="15" t="s">
        <v>17</v>
      </c>
      <c r="C6" s="5" t="s">
        <v>36</v>
      </c>
      <c r="D6" s="17">
        <v>201403</v>
      </c>
      <c r="E6" s="17">
        <v>20140301</v>
      </c>
      <c r="F6" s="17">
        <v>201403</v>
      </c>
      <c r="G6" s="4" t="s">
        <v>38</v>
      </c>
      <c r="H6" s="20"/>
      <c r="I6" s="2"/>
      <c r="J6" s="2"/>
      <c r="K6" s="21" t="s">
        <v>206</v>
      </c>
      <c r="L6" s="21"/>
      <c r="M6" s="4">
        <v>5</v>
      </c>
      <c r="N6" s="4" t="s">
        <v>121</v>
      </c>
      <c r="O6" s="5" t="s">
        <v>69</v>
      </c>
      <c r="P6" s="4" t="s">
        <v>40</v>
      </c>
      <c r="Q6" s="5" t="s">
        <v>23</v>
      </c>
      <c r="R6" s="4" t="s">
        <v>46</v>
      </c>
      <c r="S6" s="4" t="s">
        <v>60</v>
      </c>
      <c r="T6" s="4"/>
    </row>
    <row r="7" spans="1:20" x14ac:dyDescent="0.45">
      <c r="A7" s="21">
        <v>6</v>
      </c>
      <c r="B7" s="38" t="s">
        <v>187</v>
      </c>
      <c r="C7" s="35" t="s">
        <v>188</v>
      </c>
      <c r="D7" s="21"/>
      <c r="E7" s="21"/>
      <c r="F7" s="21">
        <v>202112</v>
      </c>
      <c r="G7" s="4" t="s">
        <v>189</v>
      </c>
      <c r="H7" s="20"/>
      <c r="I7" s="2"/>
      <c r="J7" s="2"/>
      <c r="K7" s="21" t="s">
        <v>202</v>
      </c>
      <c r="L7" s="21"/>
      <c r="M7" s="4">
        <v>5</v>
      </c>
      <c r="N7" s="4" t="s">
        <v>190</v>
      </c>
      <c r="O7" s="5" t="s">
        <v>199</v>
      </c>
      <c r="P7" s="4" t="s">
        <v>191</v>
      </c>
      <c r="Q7" s="2"/>
      <c r="R7" s="4" t="s">
        <v>192</v>
      </c>
      <c r="S7" s="2" t="s">
        <v>201</v>
      </c>
      <c r="T7" s="2"/>
    </row>
    <row r="8" spans="1:20" ht="17.5" x14ac:dyDescent="0.45">
      <c r="A8" s="27">
        <v>7</v>
      </c>
      <c r="B8" s="38" t="s">
        <v>187</v>
      </c>
      <c r="C8" s="5" t="s">
        <v>197</v>
      </c>
      <c r="D8" s="21"/>
      <c r="E8" s="21"/>
      <c r="F8" s="21">
        <v>202112</v>
      </c>
      <c r="G8" s="4" t="s">
        <v>189</v>
      </c>
      <c r="H8" s="20"/>
      <c r="I8" s="2"/>
      <c r="J8" s="2"/>
      <c r="K8" s="21" t="s">
        <v>202</v>
      </c>
      <c r="L8" s="21"/>
      <c r="M8" s="2"/>
      <c r="N8" s="4" t="s">
        <v>198</v>
      </c>
      <c r="O8" s="5" t="s">
        <v>200</v>
      </c>
      <c r="P8" s="4" t="s">
        <v>191</v>
      </c>
      <c r="Q8" s="39"/>
      <c r="R8" s="4" t="s">
        <v>192</v>
      </c>
      <c r="S8" s="63" t="s">
        <v>320</v>
      </c>
      <c r="T8" s="2"/>
    </row>
    <row r="10" spans="1:20" x14ac:dyDescent="0.45">
      <c r="A10" s="31" t="s">
        <v>170</v>
      </c>
      <c r="B10" t="s">
        <v>173</v>
      </c>
    </row>
    <row r="11" spans="1:20" x14ac:dyDescent="0.45">
      <c r="A11" t="s">
        <v>171</v>
      </c>
    </row>
    <row r="12" spans="1:20" x14ac:dyDescent="0.45">
      <c r="A12" t="s">
        <v>172</v>
      </c>
    </row>
    <row r="13" spans="1:20" x14ac:dyDescent="0.45">
      <c r="A13" t="s">
        <v>174</v>
      </c>
    </row>
    <row r="15" spans="1:20" x14ac:dyDescent="0.45">
      <c r="H15" s="7" t="s">
        <v>165</v>
      </c>
      <c r="I15" s="7"/>
      <c r="J15" s="2">
        <v>8</v>
      </c>
    </row>
    <row r="16" spans="1:20" x14ac:dyDescent="0.45">
      <c r="H16" s="24" t="s">
        <v>155</v>
      </c>
    </row>
    <row r="17" spans="3:15" x14ac:dyDescent="0.45">
      <c r="C17" s="3" t="s">
        <v>310</v>
      </c>
      <c r="H17" s="25" t="s">
        <v>158</v>
      </c>
      <c r="I17" s="33"/>
      <c r="J17">
        <v>5</v>
      </c>
      <c r="O17" s="3"/>
    </row>
    <row r="18" spans="3:15" ht="17.5" thickBot="1" x14ac:dyDescent="0.5"/>
    <row r="19" spans="3:15" ht="18" thickTop="1" thickBot="1" x14ac:dyDescent="0.5">
      <c r="H19" s="29" t="s">
        <v>166</v>
      </c>
      <c r="I19" s="29"/>
      <c r="J19">
        <f>J15+J17</f>
        <v>13</v>
      </c>
    </row>
    <row r="20" spans="3:15" ht="17.5" thickTop="1" x14ac:dyDescent="0.45"/>
  </sheetData>
  <autoFilter ref="A1:T1" xr:uid="{00000000-0009-0000-0000-000001000000}"/>
  <phoneticPr fontId="1" type="noConversion"/>
  <hyperlinks>
    <hyperlink ref="C17" r:id="rId1" xr:uid="{D727037B-3B97-409F-A580-5E8F3BD5AE5B}"/>
    <hyperlink ref="S2" r:id="rId2" xr:uid="{8A93DB4D-157C-44F7-B5A9-C62AF4187098}"/>
    <hyperlink ref="S8" r:id="rId3" location=".YgC1Ut9ByUk" xr:uid="{BDA045C3-75FB-4642-953F-EEB364E8B266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4"/>
  <sheetViews>
    <sheetView workbookViewId="0">
      <selection activeCell="C14" sqref="C14"/>
    </sheetView>
  </sheetViews>
  <sheetFormatPr defaultRowHeight="17" x14ac:dyDescent="0.45"/>
  <cols>
    <col min="2" max="2" width="27.5" customWidth="1"/>
    <col min="3" max="3" width="74.08203125" customWidth="1"/>
    <col min="4" max="4" width="22.5" customWidth="1"/>
    <col min="5" max="5" width="9.5" bestFit="1" customWidth="1"/>
  </cols>
  <sheetData>
    <row r="1" spans="2:5" x14ac:dyDescent="0.45">
      <c r="B1" s="8" t="s">
        <v>103</v>
      </c>
      <c r="C1" s="8" t="s">
        <v>104</v>
      </c>
      <c r="D1" s="8" t="s">
        <v>105</v>
      </c>
      <c r="E1" s="8" t="s">
        <v>159</v>
      </c>
    </row>
    <row r="2" spans="2:5" ht="28" x14ac:dyDescent="0.45">
      <c r="B2" s="9" t="s">
        <v>340</v>
      </c>
      <c r="C2" s="9" t="s">
        <v>329</v>
      </c>
      <c r="D2" s="9" t="s">
        <v>106</v>
      </c>
      <c r="E2" s="9">
        <v>20240426</v>
      </c>
    </row>
    <row r="3" spans="2:5" x14ac:dyDescent="0.45">
      <c r="B3" s="9" t="s">
        <v>340</v>
      </c>
      <c r="C3" s="9" t="s">
        <v>232</v>
      </c>
      <c r="D3" s="9" t="s">
        <v>106</v>
      </c>
      <c r="E3" s="9">
        <v>20180427</v>
      </c>
    </row>
    <row r="4" spans="2:5" x14ac:dyDescent="0.45">
      <c r="B4" s="9" t="s">
        <v>343</v>
      </c>
      <c r="C4" s="9" t="s">
        <v>234</v>
      </c>
      <c r="D4" s="9" t="s">
        <v>233</v>
      </c>
      <c r="E4" s="9">
        <v>20171031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6"/>
  <sheetViews>
    <sheetView tabSelected="1" zoomScale="115" zoomScaleNormal="115" workbookViewId="0">
      <selection activeCell="B23" sqref="B23"/>
    </sheetView>
  </sheetViews>
  <sheetFormatPr defaultRowHeight="17" x14ac:dyDescent="0.45"/>
  <cols>
    <col min="1" max="1" width="4.58203125" customWidth="1"/>
    <col min="2" max="2" width="76.9140625" customWidth="1"/>
    <col min="3" max="3" width="72" customWidth="1"/>
    <col min="4" max="4" width="8.58203125" bestFit="1" customWidth="1"/>
  </cols>
  <sheetData>
    <row r="1" spans="2:5" x14ac:dyDescent="0.45">
      <c r="B1" s="8" t="s">
        <v>104</v>
      </c>
      <c r="C1" s="8" t="s">
        <v>108</v>
      </c>
      <c r="D1" s="8" t="s">
        <v>109</v>
      </c>
      <c r="E1" s="8" t="s">
        <v>110</v>
      </c>
    </row>
    <row r="2" spans="2:5" ht="28" x14ac:dyDescent="0.45">
      <c r="B2" s="10" t="s">
        <v>122</v>
      </c>
      <c r="C2" s="10" t="s">
        <v>123</v>
      </c>
      <c r="D2" s="11" t="s">
        <v>130</v>
      </c>
      <c r="E2" s="9" t="s">
        <v>127</v>
      </c>
    </row>
    <row r="3" spans="2:5" x14ac:dyDescent="0.45">
      <c r="B3" s="10" t="s">
        <v>124</v>
      </c>
      <c r="C3" s="10" t="s">
        <v>125</v>
      </c>
      <c r="D3" s="11">
        <v>2019.1</v>
      </c>
      <c r="E3" s="9" t="s">
        <v>127</v>
      </c>
    </row>
    <row r="4" spans="2:5" x14ac:dyDescent="0.45">
      <c r="B4" s="12" t="s">
        <v>111</v>
      </c>
      <c r="C4" s="12" t="s">
        <v>112</v>
      </c>
      <c r="D4" s="13">
        <v>2018.04</v>
      </c>
      <c r="E4" s="14" t="s">
        <v>128</v>
      </c>
    </row>
    <row r="5" spans="2:5" x14ac:dyDescent="0.45">
      <c r="B5" s="10" t="s">
        <v>119</v>
      </c>
      <c r="C5" s="10" t="s">
        <v>120</v>
      </c>
      <c r="D5" s="11">
        <v>2017.11</v>
      </c>
      <c r="E5" s="9" t="s">
        <v>127</v>
      </c>
    </row>
    <row r="6" spans="2:5" ht="28" x14ac:dyDescent="0.45">
      <c r="B6" s="12" t="s">
        <v>113</v>
      </c>
      <c r="C6" s="12" t="s">
        <v>126</v>
      </c>
      <c r="D6" s="13">
        <v>2017.1</v>
      </c>
      <c r="E6" s="14" t="s">
        <v>114</v>
      </c>
    </row>
    <row r="7" spans="2:5" ht="28" x14ac:dyDescent="0.45">
      <c r="B7" s="10" t="s">
        <v>115</v>
      </c>
      <c r="C7" s="10" t="s">
        <v>116</v>
      </c>
      <c r="D7" s="11">
        <v>2015.1</v>
      </c>
      <c r="E7" s="9" t="s">
        <v>129</v>
      </c>
    </row>
    <row r="8" spans="2:5" x14ac:dyDescent="0.45">
      <c r="B8" s="10" t="s">
        <v>117</v>
      </c>
      <c r="C8" s="10" t="s">
        <v>118</v>
      </c>
      <c r="D8" s="11">
        <v>2012.1</v>
      </c>
      <c r="E8" s="9" t="s">
        <v>129</v>
      </c>
    </row>
    <row r="9" spans="2:5" x14ac:dyDescent="0.45">
      <c r="B9" s="10" t="s">
        <v>119</v>
      </c>
      <c r="C9" s="10" t="s">
        <v>120</v>
      </c>
      <c r="D9" s="11">
        <v>2017.11</v>
      </c>
      <c r="E9" s="9" t="s">
        <v>127</v>
      </c>
    </row>
    <row r="10" spans="2:5" ht="28" x14ac:dyDescent="0.45">
      <c r="B10" s="9" t="s">
        <v>329</v>
      </c>
      <c r="C10" s="72" t="s">
        <v>112</v>
      </c>
      <c r="D10" s="9">
        <v>2024.04</v>
      </c>
      <c r="E10" s="9" t="s">
        <v>127</v>
      </c>
    </row>
    <row r="14" spans="2:5" ht="42" x14ac:dyDescent="0.45">
      <c r="B14" s="9" t="s">
        <v>330</v>
      </c>
      <c r="C14" s="9" t="s">
        <v>329</v>
      </c>
      <c r="D14" s="9" t="s">
        <v>106</v>
      </c>
    </row>
    <row r="15" spans="2:5" ht="42" x14ac:dyDescent="0.45">
      <c r="B15" s="9" t="s">
        <v>341</v>
      </c>
      <c r="C15" s="9" t="s">
        <v>111</v>
      </c>
      <c r="D15" s="9" t="s">
        <v>106</v>
      </c>
    </row>
    <row r="16" spans="2:5" ht="28" x14ac:dyDescent="0.45">
      <c r="B16" s="9" t="s">
        <v>342</v>
      </c>
      <c r="C16" s="9" t="s">
        <v>113</v>
      </c>
      <c r="D16" s="9" t="s">
        <v>107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전체-ver1-IF_SCI</vt:lpstr>
      <vt:lpstr>전체-ver1-IF_국내</vt:lpstr>
      <vt:lpstr>수상실적</vt:lpstr>
      <vt:lpstr>학술발표</vt:lpstr>
      <vt:lpstr>'전체-ver1-IF_SCI'!_Hlk15564470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nhkwon</dc:creator>
  <cp:lastModifiedBy>nhkwon</cp:lastModifiedBy>
  <cp:lastPrinted>2020-04-17T02:52:17Z</cp:lastPrinted>
  <dcterms:created xsi:type="dcterms:W3CDTF">2019-09-23T09:15:39Z</dcterms:created>
  <dcterms:modified xsi:type="dcterms:W3CDTF">2026-04-28T05:56:31Z</dcterms:modified>
</cp:coreProperties>
</file>